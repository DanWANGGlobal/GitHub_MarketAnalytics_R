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5"/>
  <workbookPr filterPrivacy="1" defaultThemeVersion="124226"/>
  <xr:revisionPtr revIDLastSave="0" documentId="13_ncr:1_{6E3CD59C-A055-9147-874B-ED2D0CF55606}" xr6:coauthVersionLast="47" xr6:coauthVersionMax="47" xr10:uidLastSave="{00000000-0000-0000-0000-000000000000}"/>
  <bookViews>
    <workbookView xWindow="0" yWindow="660" windowWidth="29400" windowHeight="18460" xr2:uid="{00000000-000D-0000-FFFF-FFFF00000000}"/>
  </bookViews>
  <sheets>
    <sheet name="Yahoo"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5" i="12" l="1"/>
  <c r="A184" i="12"/>
  <c r="A183" i="12"/>
  <c r="A182" i="12"/>
  <c r="A181"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A2" i="12"/>
</calcChain>
</file>

<file path=xl/sharedStrings.xml><?xml version="1.0" encoding="utf-8"?>
<sst xmlns="http://schemas.openxmlformats.org/spreadsheetml/2006/main" count="681" uniqueCount="573">
  <si>
    <t>name</t>
    <phoneticPr fontId="1" type="noConversion"/>
  </si>
  <si>
    <t>ticker</t>
    <phoneticPr fontId="1" type="noConversion"/>
  </si>
  <si>
    <t>IHAK</t>
    <phoneticPr fontId="1" type="noConversion"/>
  </si>
  <si>
    <t>IBAT</t>
    <phoneticPr fontId="1" type="noConversion"/>
  </si>
  <si>
    <t>XT</t>
    <phoneticPr fontId="1" type="noConversion"/>
  </si>
  <si>
    <t>IBRN</t>
    <phoneticPr fontId="1" type="noConversion"/>
  </si>
  <si>
    <t>IDRV</t>
    <phoneticPr fontId="1" type="noConversion"/>
  </si>
  <si>
    <t>ICLN</t>
    <phoneticPr fontId="1" type="noConversion"/>
  </si>
  <si>
    <t>ARTY</t>
    <phoneticPr fontId="1" type="noConversion"/>
  </si>
  <si>
    <t>ICOP</t>
    <phoneticPr fontId="1" type="noConversion"/>
  </si>
  <si>
    <t>IBLC</t>
    <phoneticPr fontId="1" type="noConversion"/>
  </si>
  <si>
    <t>NLR</t>
    <phoneticPr fontId="1" type="noConversion"/>
  </si>
  <si>
    <t>QTUM</t>
    <phoneticPr fontId="1" type="noConversion"/>
  </si>
  <si>
    <t>KROP</t>
    <phoneticPr fontId="1" type="noConversion"/>
  </si>
  <si>
    <t>XAR</t>
    <phoneticPr fontId="1" type="noConversion"/>
  </si>
  <si>
    <t>SHLD</t>
    <phoneticPr fontId="1" type="noConversion"/>
  </si>
  <si>
    <t>TAN</t>
    <phoneticPr fontId="1" type="noConversion"/>
  </si>
  <si>
    <t>FAN</t>
    <phoneticPr fontId="1" type="noConversion"/>
  </si>
  <si>
    <t>HYDR</t>
    <phoneticPr fontId="1" type="noConversion"/>
  </si>
  <si>
    <t>KOMP</t>
    <phoneticPr fontId="1" type="noConversion"/>
  </si>
  <si>
    <t>FITE</t>
    <phoneticPr fontId="1" type="noConversion"/>
  </si>
  <si>
    <t>DefianceQuantum</t>
  </si>
  <si>
    <t>AerospaceDefense</t>
  </si>
  <si>
    <t>NewEconomies</t>
  </si>
  <si>
    <t>FutureSecurity</t>
  </si>
  <si>
    <t>CybersecurityTech</t>
  </si>
  <si>
    <t>FutureAITech</t>
  </si>
  <si>
    <t>BlockchainTech</t>
  </si>
  <si>
    <t>EnergyStorageMaterials</t>
  </si>
  <si>
    <t>CopperMetalsMining</t>
  </si>
  <si>
    <t>ExponentialTech</t>
  </si>
  <si>
    <t>NeuroscienceHealthcare</t>
  </si>
  <si>
    <t>SelfDrivingEVTech</t>
  </si>
  <si>
    <t>GlobalCleanEnergy</t>
  </si>
  <si>
    <t>Hydrogen</t>
  </si>
  <si>
    <t>AgTechFoodInno</t>
  </si>
  <si>
    <t>DefenseTech</t>
  </si>
  <si>
    <t>UraniumNuclear</t>
  </si>
  <si>
    <t>GlobalWindEnergy</t>
  </si>
  <si>
    <t>Solar</t>
  </si>
  <si>
    <t>HOOD</t>
    <phoneticPr fontId="1" type="noConversion"/>
  </si>
  <si>
    <t>Robinhood</t>
    <phoneticPr fontId="1" type="noConversion"/>
  </si>
  <si>
    <t>Nike</t>
    <phoneticPr fontId="1" type="noConversion"/>
  </si>
  <si>
    <t>COIN</t>
    <phoneticPr fontId="1" type="noConversion"/>
  </si>
  <si>
    <t>Coinbase</t>
    <phoneticPr fontId="1" type="noConversion"/>
  </si>
  <si>
    <t>CRCL</t>
    <phoneticPr fontId="1" type="noConversion"/>
  </si>
  <si>
    <t>CircleInternet</t>
    <phoneticPr fontId="1" type="noConversion"/>
  </si>
  <si>
    <t>IBKR</t>
    <phoneticPr fontId="1" type="noConversion"/>
  </si>
  <si>
    <t>InteractiveBrokers</t>
    <phoneticPr fontId="1" type="noConversion"/>
  </si>
  <si>
    <t>LULU</t>
    <phoneticPr fontId="1" type="noConversion"/>
  </si>
  <si>
    <t>Lululemon</t>
    <phoneticPr fontId="1" type="noConversion"/>
  </si>
  <si>
    <t>PDD</t>
    <phoneticPr fontId="1" type="noConversion"/>
  </si>
  <si>
    <t>Pingduoduo</t>
    <phoneticPr fontId="1" type="noConversion"/>
  </si>
  <si>
    <t>1810.HK</t>
    <phoneticPr fontId="1" type="noConversion"/>
  </si>
  <si>
    <t>Xiaomi</t>
    <phoneticPr fontId="1" type="noConversion"/>
  </si>
  <si>
    <t>TSLA</t>
    <phoneticPr fontId="1" type="noConversion"/>
  </si>
  <si>
    <t>Tesla</t>
    <phoneticPr fontId="1" type="noConversion"/>
  </si>
  <si>
    <t>MSTR</t>
    <phoneticPr fontId="1" type="noConversion"/>
  </si>
  <si>
    <t>Strategy</t>
    <phoneticPr fontId="1" type="noConversion"/>
  </si>
  <si>
    <t>MCD</t>
    <phoneticPr fontId="1" type="noConversion"/>
  </si>
  <si>
    <t>McDonalds</t>
    <phoneticPr fontId="1" type="noConversion"/>
  </si>
  <si>
    <t>NKE</t>
    <phoneticPr fontId="1" type="noConversion"/>
  </si>
  <si>
    <t>Google</t>
    <phoneticPr fontId="1" type="noConversion"/>
  </si>
  <si>
    <t>Nvdia</t>
    <phoneticPr fontId="1" type="noConversion"/>
  </si>
  <si>
    <t>GOOGL</t>
    <phoneticPr fontId="1" type="noConversion"/>
  </si>
  <si>
    <t>NVDA</t>
    <phoneticPr fontId="1" type="noConversion"/>
  </si>
  <si>
    <t>Apple</t>
    <phoneticPr fontId="1" type="noConversion"/>
  </si>
  <si>
    <t>AAPL</t>
    <phoneticPr fontId="1" type="noConversion"/>
  </si>
  <si>
    <t>PLTR</t>
    <phoneticPr fontId="1" type="noConversion"/>
  </si>
  <si>
    <t>Palantir</t>
    <phoneticPr fontId="1" type="noConversion"/>
  </si>
  <si>
    <t>AllWeather</t>
    <phoneticPr fontId="1" type="noConversion"/>
  </si>
  <si>
    <t>BTCUSD</t>
    <phoneticPr fontId="1" type="noConversion"/>
  </si>
  <si>
    <t>BTC-USD</t>
    <phoneticPr fontId="1" type="noConversion"/>
  </si>
  <si>
    <t>ETHUSD</t>
    <phoneticPr fontId="1" type="noConversion"/>
  </si>
  <si>
    <t>ETH-USD</t>
    <phoneticPr fontId="1" type="noConversion"/>
  </si>
  <si>
    <t>ETCUSD</t>
    <phoneticPr fontId="1" type="noConversion"/>
  </si>
  <si>
    <t>ETC-USD</t>
    <phoneticPr fontId="1" type="noConversion"/>
  </si>
  <si>
    <t>TRXUSD</t>
    <phoneticPr fontId="1" type="noConversion"/>
  </si>
  <si>
    <t>TRX-USD</t>
    <phoneticPr fontId="1" type="noConversion"/>
  </si>
  <si>
    <t>SOLUSD</t>
    <phoneticPr fontId="1" type="noConversion"/>
  </si>
  <si>
    <t>SOL-USD</t>
    <phoneticPr fontId="1" type="noConversion"/>
  </si>
  <si>
    <t>NEARUSD</t>
    <phoneticPr fontId="1" type="noConversion"/>
  </si>
  <si>
    <t>NEAR-USD</t>
    <phoneticPr fontId="1" type="noConversion"/>
  </si>
  <si>
    <t>ICPUSD</t>
    <phoneticPr fontId="1" type="noConversion"/>
  </si>
  <si>
    <t>ICP-USD</t>
    <phoneticPr fontId="1" type="noConversion"/>
  </si>
  <si>
    <t>ATOMUSD</t>
    <phoneticPr fontId="1" type="noConversion"/>
  </si>
  <si>
    <t>ATOM-USD</t>
    <phoneticPr fontId="1" type="noConversion"/>
  </si>
  <si>
    <t>TONUSD</t>
    <phoneticPr fontId="1" type="noConversion"/>
  </si>
  <si>
    <t>TON11419-USD</t>
    <phoneticPr fontId="1" type="noConversion"/>
  </si>
  <si>
    <t>XRPUSD</t>
    <phoneticPr fontId="1" type="noConversion"/>
  </si>
  <si>
    <t>XRP-USD</t>
    <phoneticPr fontId="1" type="noConversion"/>
  </si>
  <si>
    <t>FILUSD</t>
    <phoneticPr fontId="1" type="noConversion"/>
  </si>
  <si>
    <t>FIL-USD</t>
    <phoneticPr fontId="1" type="noConversion"/>
  </si>
  <si>
    <t>BNBUSD</t>
    <phoneticPr fontId="1" type="noConversion"/>
  </si>
  <si>
    <t>BNB-USD</t>
    <phoneticPr fontId="1" type="noConversion"/>
  </si>
  <si>
    <t>OKBUSD</t>
    <phoneticPr fontId="1" type="noConversion"/>
  </si>
  <si>
    <t>OKB-USD</t>
    <phoneticPr fontId="1" type="noConversion"/>
  </si>
  <si>
    <t>CROUSD</t>
    <phoneticPr fontId="1" type="noConversion"/>
  </si>
  <si>
    <t>CRO-USD</t>
    <phoneticPr fontId="1" type="noConversion"/>
  </si>
  <si>
    <t>LINKUSD</t>
    <phoneticPr fontId="1" type="noConversion"/>
  </si>
  <si>
    <t>LINK-USD</t>
    <phoneticPr fontId="1" type="noConversion"/>
  </si>
  <si>
    <t>RNDRUSD</t>
    <phoneticPr fontId="1" type="noConversion"/>
  </si>
  <si>
    <t>RNDR-USD</t>
    <phoneticPr fontId="1" type="noConversion"/>
  </si>
  <si>
    <t>APTUSD</t>
    <phoneticPr fontId="1" type="noConversion"/>
  </si>
  <si>
    <t>APT21794-USD</t>
    <phoneticPr fontId="1" type="noConversion"/>
  </si>
  <si>
    <t>WLDUSD</t>
    <phoneticPr fontId="1" type="noConversion"/>
  </si>
  <si>
    <t>WLD-USD</t>
    <phoneticPr fontId="1" type="noConversion"/>
  </si>
  <si>
    <t>OPUSD</t>
    <phoneticPr fontId="1" type="noConversion"/>
  </si>
  <si>
    <t>OP-USD</t>
    <phoneticPr fontId="1" type="noConversion"/>
  </si>
  <si>
    <t>ARBUSD</t>
    <phoneticPr fontId="1" type="noConversion"/>
  </si>
  <si>
    <t>ARB11841-USD</t>
    <phoneticPr fontId="1" type="noConversion"/>
  </si>
  <si>
    <t>TAOUSD</t>
    <phoneticPr fontId="1" type="noConversion"/>
  </si>
  <si>
    <t>TAO22974-USD</t>
    <phoneticPr fontId="1" type="noConversion"/>
  </si>
  <si>
    <t>XMRUSD</t>
    <phoneticPr fontId="1" type="noConversion"/>
  </si>
  <si>
    <t>XMR-USD</t>
    <phoneticPr fontId="1" type="noConversion"/>
  </si>
  <si>
    <t>ZECUSD</t>
    <phoneticPr fontId="1" type="noConversion"/>
  </si>
  <si>
    <t>ZEC-USD</t>
    <phoneticPr fontId="1" type="noConversion"/>
  </si>
  <si>
    <t>HYPEUSD</t>
    <phoneticPr fontId="1" type="noConversion"/>
  </si>
  <si>
    <t>HYPE32196-USD</t>
    <phoneticPr fontId="1" type="noConversion"/>
  </si>
  <si>
    <t>AsterUSD</t>
    <phoneticPr fontId="1" type="noConversion"/>
  </si>
  <si>
    <t>ASTER36341-USD</t>
    <phoneticPr fontId="1" type="noConversion"/>
  </si>
  <si>
    <t>LighterUSD</t>
    <phoneticPr fontId="1" type="noConversion"/>
  </si>
  <si>
    <t>LIT39125-USD</t>
    <phoneticPr fontId="1" type="noConversion"/>
  </si>
  <si>
    <t>UNIUSD</t>
    <phoneticPr fontId="1" type="noConversion"/>
  </si>
  <si>
    <t>UNI7083-USD</t>
    <phoneticPr fontId="1" type="noConversion"/>
  </si>
  <si>
    <t>MKRUSD</t>
    <phoneticPr fontId="1" type="noConversion"/>
  </si>
  <si>
    <t>MKR-USD</t>
    <phoneticPr fontId="1" type="noConversion"/>
  </si>
  <si>
    <t>AAVEUSD</t>
    <phoneticPr fontId="1" type="noConversion"/>
  </si>
  <si>
    <t>AAVE-USD</t>
    <phoneticPr fontId="1" type="noConversion"/>
  </si>
  <si>
    <t>COMPUSD</t>
    <phoneticPr fontId="1" type="noConversion"/>
  </si>
  <si>
    <t>COMP5692-USD</t>
    <phoneticPr fontId="1" type="noConversion"/>
  </si>
  <si>
    <t>LDOUSD</t>
    <phoneticPr fontId="1" type="noConversion"/>
  </si>
  <si>
    <t>LDO-USD</t>
    <phoneticPr fontId="1" type="noConversion"/>
  </si>
  <si>
    <t>SI=F</t>
    <phoneticPr fontId="1" type="noConversion"/>
  </si>
  <si>
    <t>GC=F</t>
    <phoneticPr fontId="1" type="noConversion"/>
  </si>
  <si>
    <t>Gold</t>
    <phoneticPr fontId="1" type="noConversion"/>
  </si>
  <si>
    <t>Silver</t>
    <phoneticPr fontId="1" type="noConversion"/>
  </si>
  <si>
    <t>CL=F</t>
    <phoneticPr fontId="1" type="noConversion"/>
  </si>
  <si>
    <t>CrudeWTI</t>
    <phoneticPr fontId="1" type="noConversion"/>
  </si>
  <si>
    <t>HG=F</t>
    <phoneticPr fontId="1" type="noConversion"/>
  </si>
  <si>
    <t>Copper</t>
    <phoneticPr fontId="1" type="noConversion"/>
  </si>
  <si>
    <t>LE=F</t>
    <phoneticPr fontId="1" type="noConversion"/>
  </si>
  <si>
    <t>GF=F</t>
    <phoneticPr fontId="1" type="noConversion"/>
  </si>
  <si>
    <t>CattleLive</t>
    <phoneticPr fontId="1" type="noConversion"/>
  </si>
  <si>
    <t>CatterFeed</t>
    <phoneticPr fontId="1" type="noConversion"/>
  </si>
  <si>
    <t>ZS=F</t>
    <phoneticPr fontId="1" type="noConversion"/>
  </si>
  <si>
    <t>Soybean</t>
    <phoneticPr fontId="1" type="noConversion"/>
  </si>
  <si>
    <t>SoybeanOi</t>
    <phoneticPr fontId="1" type="noConversion"/>
  </si>
  <si>
    <t>SoybeanMeal</t>
    <phoneticPr fontId="1" type="noConversion"/>
  </si>
  <si>
    <t>ZM=F</t>
    <phoneticPr fontId="1" type="noConversion"/>
  </si>
  <si>
    <t>ZL=F</t>
    <phoneticPr fontId="1" type="noConversion"/>
  </si>
  <si>
    <t>CT=F</t>
    <phoneticPr fontId="1" type="noConversion"/>
  </si>
  <si>
    <t>Cotton</t>
    <phoneticPr fontId="1" type="noConversion"/>
  </si>
  <si>
    <t>NG=F</t>
    <phoneticPr fontId="1" type="noConversion"/>
  </si>
  <si>
    <t>NatGas</t>
    <phoneticPr fontId="1" type="noConversion"/>
  </si>
  <si>
    <t>LeanHogs</t>
    <phoneticPr fontId="1" type="noConversion"/>
  </si>
  <si>
    <t>HE=F</t>
    <phoneticPr fontId="1" type="noConversion"/>
  </si>
  <si>
    <t>USDJPY</t>
    <phoneticPr fontId="1" type="noConversion"/>
  </si>
  <si>
    <t>AUDUSD</t>
    <phoneticPr fontId="1" type="noConversion"/>
  </si>
  <si>
    <t>NZDUSD</t>
    <phoneticPr fontId="1" type="noConversion"/>
  </si>
  <si>
    <t>USDCAD</t>
    <phoneticPr fontId="1" type="noConversion"/>
  </si>
  <si>
    <t>USDNOK</t>
    <phoneticPr fontId="1" type="noConversion"/>
  </si>
  <si>
    <t>EURUSD</t>
    <phoneticPr fontId="1" type="noConversion"/>
  </si>
  <si>
    <t>GBPUSD</t>
    <phoneticPr fontId="1" type="noConversion"/>
  </si>
  <si>
    <t>Nikkei225</t>
    <phoneticPr fontId="1" type="noConversion"/>
  </si>
  <si>
    <t>Nasdaq100</t>
    <phoneticPr fontId="1" type="noConversion"/>
  </si>
  <si>
    <t>JPY=X</t>
    <phoneticPr fontId="1" type="noConversion"/>
  </si>
  <si>
    <t>AUDUSD=X</t>
    <phoneticPr fontId="1" type="noConversion"/>
  </si>
  <si>
    <t>NZDUSD=X</t>
    <phoneticPr fontId="1" type="noConversion"/>
  </si>
  <si>
    <t>CAD=X</t>
    <phoneticPr fontId="1" type="noConversion"/>
  </si>
  <si>
    <t>NOK=X</t>
    <phoneticPr fontId="1" type="noConversion"/>
  </si>
  <si>
    <t>EURUSD=X</t>
    <phoneticPr fontId="1" type="noConversion"/>
  </si>
  <si>
    <t>GBPUSD=X</t>
    <phoneticPr fontId="1" type="noConversion"/>
  </si>
  <si>
    <t>^N225</t>
    <phoneticPr fontId="1" type="noConversion"/>
  </si>
  <si>
    <t>^NDX</t>
    <phoneticPr fontId="1" type="noConversion"/>
  </si>
  <si>
    <t>^VIX</t>
    <phoneticPr fontId="1" type="noConversion"/>
  </si>
  <si>
    <t>^HSCE</t>
    <phoneticPr fontId="1" type="noConversion"/>
  </si>
  <si>
    <t>^HSI</t>
    <phoneticPr fontId="1" type="noConversion"/>
  </si>
  <si>
    <t>HangSengIndex</t>
    <phoneticPr fontId="1" type="noConversion"/>
  </si>
  <si>
    <t>HSChinaEnterprise</t>
    <phoneticPr fontId="1" type="noConversion"/>
  </si>
  <si>
    <t>82823.HK</t>
    <phoneticPr fontId="1" type="noConversion"/>
  </si>
  <si>
    <t>ZN=F</t>
  </si>
  <si>
    <t>ZF=F</t>
  </si>
  <si>
    <t>UST10Yr</t>
    <phoneticPr fontId="1" type="noConversion"/>
  </si>
  <si>
    <t>UST5Yr</t>
    <phoneticPr fontId="1" type="noConversion"/>
  </si>
  <si>
    <t>VixIndex</t>
    <phoneticPr fontId="1" type="noConversion"/>
  </si>
  <si>
    <t>USDKRW</t>
    <phoneticPr fontId="1" type="noConversion"/>
  </si>
  <si>
    <t>KRW=X</t>
    <phoneticPr fontId="1" type="noConversion"/>
  </si>
  <si>
    <t>nameReal</t>
    <phoneticPr fontId="1" type="noConversion"/>
  </si>
  <si>
    <t>Memo</t>
    <phoneticPr fontId="1" type="noConversion"/>
  </si>
  <si>
    <t>proxy ChinaA50</t>
    <phoneticPr fontId="1" type="noConversion"/>
  </si>
  <si>
    <t>XYZ</t>
    <phoneticPr fontId="1" type="noConversion"/>
  </si>
  <si>
    <t>Block</t>
    <phoneticPr fontId="1" type="noConversion"/>
  </si>
  <si>
    <t>AUM</t>
    <phoneticPr fontId="1" type="noConversion"/>
  </si>
  <si>
    <t>Fees</t>
    <phoneticPr fontId="1" type="noConversion"/>
  </si>
  <si>
    <t>InceptionDate</t>
    <phoneticPr fontId="1" type="noConversion"/>
  </si>
  <si>
    <t>YahooLink</t>
    <phoneticPr fontId="1" type="noConversion"/>
  </si>
  <si>
    <t>Under normal market conditions, the fund generally invests substantially all, but at least 80%, of its total assets in the securities comprising the index. The index is designed to capture companies whose products and services are driving innovation and transforming the global economy through the use of existing and emerging technologies, and rapid developments in robotics, automation, artificial intelligence, connectedness and processing power.</t>
  </si>
  <si>
    <t>2.4B</t>
  </si>
  <si>
    <t>https://finance.yahoo.com/quote/KOMP</t>
  </si>
  <si>
    <t>FutureWorld</t>
    <phoneticPr fontId="1" type="noConversion"/>
  </si>
  <si>
    <t>Under normal market conditions, the fund generally invests substantially all, but at least 80%, of its total assets in the securities comprising the index. The index is comprised of U.S.-listed equity securities (including depositary receipts) of companies domiciled across developed and emerging markets worldwide which are included in the Future Security sector as determined by a classification standard produced by the index provider.</t>
  </si>
  <si>
    <t>92.96M</t>
  </si>
  <si>
    <t>https://finance.yahoo.com/quote/FITE</t>
  </si>
  <si>
    <t>The fund generally will invest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 The index is composed of developed and emerging market companies that are involved in cyber security and technology, including cyber security hardware, software, products, and services. It is non-diversified.</t>
  </si>
  <si>
    <t>828.55M</t>
  </si>
  <si>
    <t>https://finance.yahoo.com/quote/IHAK</t>
  </si>
  <si>
    <t>The fund uses a “passive management” (or indexing) approach to track the total return performance, before fees and expenses, of the index. The index consists of a modified equal-weighted portfolio of the stock of companies that derive at least 50% of their annual revenue or operating activity from the development of quantum computing and machine learning technology.</t>
  </si>
  <si>
    <t>3.18B</t>
  </si>
  <si>
    <t>https://finance.yahoo.com/quote/QTUM</t>
  </si>
  <si>
    <t>The index is composed of U.S. and non-U.S. companies that provide products and services that are expected to contribute to artificial intelligence (“AI”).</t>
  </si>
  <si>
    <t>1.9B</t>
  </si>
  <si>
    <t>https://finance.yahoo.com/quote/ARTY</t>
  </si>
  <si>
    <t>The fund generally will invest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It is non-diversified.</t>
  </si>
  <si>
    <t>80.08M</t>
  </si>
  <si>
    <t>https://finance.yahoo.com/quote/IBLC</t>
  </si>
  <si>
    <t>The index measures the performance of equity securities of companies involved in energy storage solutions aiming to support the transition to a low carbon economy, including hydrogen, fuel cells, and batteries as determined by STOXX Ltd. The fund generally will invest at least 90% of its assets in the component securities of its index and in investments that have economic characteristics that are substantially identical to the component securities of its underlying index. The fund is non-diversified.</t>
  </si>
  <si>
    <t>10.3M</t>
  </si>
  <si>
    <t>https://finance.yahoo.com/quote/IBAT</t>
  </si>
  <si>
    <t>The fund normally invests at least 80% of its total assets in securities that comprise the fund's benchmark index. The index includes equity securities and depositary receipts issued by companies involved in uranium and nuclear energy. The fund is non-diversified.</t>
  </si>
  <si>
    <t>3.6B</t>
  </si>
  <si>
    <t>https://finance.yahoo.com/quote/NLR</t>
  </si>
  <si>
    <t>The fund will generally invest at least 90% of its total assets in the securities that comprise the underlying index. Strictly in accordance with its guidelines and mandated procedures, MAC Indexing LLC, has contracted with S&amp;P DJI Netherlands B.V. to calculate and administer the underlying index, which seeks to track the performance of companies in global solar energy businesses. The fund is non-diversified.</t>
  </si>
  <si>
    <t>987.43M</t>
  </si>
  <si>
    <t>https://finance.yahoo.com/quote/TAN</t>
  </si>
  <si>
    <t>The fund will normally invest at least 90% of its net assets (including investment borrowings) in the common stocks and depositary receipts that comprise the index. The index provides a benchmark for investors interested in tracking public companies throughout the world that are active in the wind energy industry. In order to be eligible for inclusion in the index, a security must be issued by a company that is actively engaged in some aspect of the wind energy industry. The fund is non-diversified.</t>
  </si>
  <si>
    <t>201.52M</t>
  </si>
  <si>
    <t>https://finance.yahoo.com/quote/FAN</t>
  </si>
  <si>
    <t>The fund generally will invest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The fund is non-diversified.</t>
  </si>
  <si>
    <t>174.73M</t>
  </si>
  <si>
    <t>https://finance.yahoo.com/quote/ICOP</t>
  </si>
  <si>
    <t>The fund invests at least 80% of its total assets, plus borrowings for investments purposes (if any), in the securities of the index and in American Depositary Receipts ("ADRs") and Global Depositary Receipts ("GDRs") based on the securities in the index. The underlying index is designed to provide exposure to companies that are positioned to benefit from further advances in the field of hydrogen technology. The fund is non-diversified.</t>
  </si>
  <si>
    <t>52.31M</t>
  </si>
  <si>
    <t>https://finance.yahoo.com/quote/HYDR</t>
  </si>
  <si>
    <t>The fund generally will invest at least 80% of its assets in the component securities of the underlying index and in investments that have economic characteristics that are substantially identical to the component securities of the underlying index. The underlying index is a subset of the Morningstar Global Markets Index (the “Parent index”).</t>
  </si>
  <si>
    <t>3.57B</t>
  </si>
  <si>
    <t>https://finance.yahoo.com/quote/XT</t>
  </si>
  <si>
    <t>The fund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as well as in securities not included in the index, but which BFA believes will help the fund track the index.</t>
  </si>
  <si>
    <t>4.85M</t>
  </si>
  <si>
    <t>https://finance.yahoo.com/quote/IBRN</t>
  </si>
  <si>
    <t>The index is composed of equity securities of companies listed in one of 43 developed or emerging market countries that derive a certain specified percentage of their revenue from selected autonomous or electric vehicle-related industries, as defined by IDI. The fund generally will invest at least 80% of its assets in the component securities of the index and in investments that have economic characteristics that are substantially identical to the component securities of the index.</t>
  </si>
  <si>
    <t>163.77M</t>
  </si>
  <si>
    <t>https://finance.yahoo.com/quote/IDRV</t>
  </si>
  <si>
    <t>The index is designed to track the performance of approximately 100 clean energy-related companies. The fund generally invests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 as well as in securities not included in the index. It is non-diversified.</t>
  </si>
  <si>
    <t>https://finance.yahoo.com/quote/ICLN</t>
  </si>
  <si>
    <t>The fund invests at least 80% of its total assets, plus borrowings for investments purposes, in the securities of the underlying index and in ADRs and GDRs based on the securities in the underlying index. The underlying index is designed to provide exposure to companies that are positioned to benefit from further advances in the fields of agricultural technology and food innovation. It is non-diversified.</t>
  </si>
  <si>
    <t>6.18M</t>
  </si>
  <si>
    <t>https://finance.yahoo.com/quote/KROP</t>
  </si>
  <si>
    <t>In seeking to track the performance of the S&amp;P Aerospace &amp; Defense Select Industry Index (the "index"), the fund employs a sampling strategy. It generally invests substantially all, but at least 80%, of its total assets in the securities comprising the index. The index represents the aerospace and defense segment of the S&amp;P Total Market Index ("S&amp;P TMI").</t>
  </si>
  <si>
    <t>4.69B</t>
  </si>
  <si>
    <t>https://finance.yahoo.com/quote/XAR</t>
  </si>
  <si>
    <t>The fund invests at least 80% of its net assets, plus borrowings for investment purposes (if any), in the securities of the Global X Defense Tech Index, which may include common stocks, American Depositary Receipts ("ADRs") and Global Depositary Receipts ("GDRs") based on the securities in the underlying index. The underlying index is owned and was developed by Global X Management Company LLC, an affiliate of the fund and the fund's investment adviser. The fund is non-diversified.</t>
  </si>
  <si>
    <t>5.13B</t>
  </si>
  <si>
    <t>https://finance.yahoo.com/quote/SHLD</t>
  </si>
  <si>
    <t>StockToMonitor</t>
    <phoneticPr fontId="1" type="noConversion"/>
  </si>
  <si>
    <t>MacroCMDFut</t>
    <phoneticPr fontId="1" type="noConversion"/>
  </si>
  <si>
    <t>MacroFX</t>
    <phoneticPr fontId="1" type="noConversion"/>
  </si>
  <si>
    <t>MacroIndex</t>
    <phoneticPr fontId="1" type="noConversion"/>
  </si>
  <si>
    <t>TAIL</t>
  </si>
  <si>
    <t>CambriaTailRisk</t>
    <phoneticPr fontId="1" type="noConversion"/>
  </si>
  <si>
    <t>Actively managed ETF investing in cash and U.S. government bonds while using a put option strategy to hedge against significant negative movements in domestic equities.</t>
  </si>
  <si>
    <t>152.31M</t>
  </si>
  <si>
    <t>https://finance.yahoo.com/quote/TAIL</t>
  </si>
  <si>
    <t>MacroETF</t>
    <phoneticPr fontId="1" type="noConversion"/>
  </si>
  <si>
    <t>ALLW</t>
  </si>
  <si>
    <t>SSGA Funds Management, Inc. (the “Adviser” or “SSGA FM”), the investment adviser to the fund, seeks to achieve the fund's investment objective by investing the fund's assets based on a model portfolio provided by Bridgewater Associates, LP (the “Sub-Adviser” or “Bridgewater”), the investment sub-adviser to the fund.</t>
  </si>
  <si>
    <t>0.66B</t>
  </si>
  <si>
    <t>https://finance.yahoo.com/quote/ALLW</t>
  </si>
  <si>
    <t>SPY</t>
  </si>
  <si>
    <t>SP500</t>
    <phoneticPr fontId="1" type="noConversion"/>
  </si>
  <si>
    <t>Seeks to achieve its investment objective by holding a portfolio of the common stocks that are included in the index, with the weight of each stock in the portfolio substantially corresponding to the weight of such stock in the index.</t>
  </si>
  <si>
    <t>712.07B</t>
  </si>
  <si>
    <t>https://finance.yahoo.com/quote/SPY</t>
  </si>
  <si>
    <t>SH</t>
  </si>
  <si>
    <t>ShortSP500</t>
    <phoneticPr fontId="1" type="noConversion"/>
  </si>
  <si>
    <t>The fund invests in financial instruments that ProShare Advisors believes, in combination, should produce daily returns consistent with the Daily Target. The index is designed to measure the performance of 500 of the largest companies listed and domiciled in the U.S. Under normal circumstances, the fund will obtain inverse exposure to at least 80% of its total assets in components of the index or in instruments with similar economic characteristics. The fund is non-diversified.</t>
  </si>
  <si>
    <t>0.9B</t>
  </si>
  <si>
    <t>https://finance.yahoo.com/quote/SH</t>
  </si>
  <si>
    <t>VIXY</t>
  </si>
  <si>
    <t>VIXShortTerm</t>
    <phoneticPr fontId="1" type="noConversion"/>
  </si>
  <si>
    <t>Offers exposure to market volatility through publicly traded futures markets and measures the implied volatility of the S&amp;P 500 over 30 days in the future.</t>
  </si>
  <si>
    <t>231.31M</t>
  </si>
  <si>
    <t>https://finance.yahoo.com/quote/VIXY</t>
  </si>
  <si>
    <t>QQQ</t>
  </si>
  <si>
    <t>NQ100</t>
    <phoneticPr fontId="1" type="noConversion"/>
  </si>
  <si>
    <t>Tracks the NASDAQ-100 Index by holding and adjusting securities to match the index's composition and weights.</t>
  </si>
  <si>
    <t>407.17B</t>
  </si>
  <si>
    <t>https://finance.yahoo.com/quote/QQQ</t>
  </si>
  <si>
    <t>SQQQ</t>
  </si>
  <si>
    <t>ShortQQQ</t>
    <phoneticPr fontId="1" type="noConversion"/>
  </si>
  <si>
    <t>The fund invests in financial instruments that ProShare Advisors believes, in combination, should produce daily returns consistent with the Daily Target. The index includes 100 of the largest domestic and international non-financial companies listed on The Nasdaq Stock Market based on market capitalization. The fund is non-diversified.</t>
  </si>
  <si>
    <t>2.31B</t>
  </si>
  <si>
    <t>https://finance.yahoo.com/quote/SQQQ</t>
  </si>
  <si>
    <t>IWM</t>
  </si>
  <si>
    <t>Russell2000</t>
    <phoneticPr fontId="1" type="noConversion"/>
  </si>
  <si>
    <t>Invests at least 80% of assets in component securities of the underlying index and investments with substantially identical economic characteristics (small-cap US equities).</t>
  </si>
  <si>
    <t>73.74B</t>
  </si>
  <si>
    <t>https://finance.yahoo.com/quote/IWM</t>
  </si>
  <si>
    <t>VTI</t>
  </si>
  <si>
    <t>USTotalStockMkt</t>
    <phoneticPr fontId="1" type="noConversion"/>
  </si>
  <si>
    <t>Tracks the performance of an index representing approximately 100% of the investable U.S. stock market, including large-, mid-, small-, and micro-cap stocks, using a sampling approach for a diversified collection of securities.</t>
  </si>
  <si>
    <t>2.06T</t>
  </si>
  <si>
    <t>https://finance.yahoo.com/quote/VTI</t>
  </si>
  <si>
    <t>VUG</t>
  </si>
  <si>
    <t>USGrowthEqty</t>
    <phoneticPr fontId="1" type="noConversion"/>
  </si>
  <si>
    <t>Tracks a broadly diversified index of growth stocks of large U.S. companies by investing in stocks in approximately the same proportion as their index weighting.</t>
  </si>
  <si>
    <t>352.38B</t>
  </si>
  <si>
    <t>https://finance.yahoo.com/quote/VUG</t>
  </si>
  <si>
    <t>VTV</t>
  </si>
  <si>
    <t>USValueEqty</t>
    <phoneticPr fontId="1" type="noConversion"/>
  </si>
  <si>
    <t>Tracks a broadly diversified index of value stocks of large U.S. companies by investing in stocks in proportion to their index weighting.</t>
  </si>
  <si>
    <t>217.68B</t>
  </si>
  <si>
    <t>https://finance.yahoo.com/quote/VTV</t>
  </si>
  <si>
    <t>USMV</t>
  </si>
  <si>
    <t>USMinVolFactor</t>
    <phoneticPr fontId="1" type="noConversion"/>
  </si>
  <si>
    <t>Invests at least 80% of assets in large and mid-cap U.S. equity securities with lower volatility relative to the broad market.</t>
  </si>
  <si>
    <t>22.78B</t>
  </si>
  <si>
    <t>https://finance.yahoo.com/quote/USMV</t>
  </si>
  <si>
    <t>MTUM</t>
  </si>
  <si>
    <t>USMomentumFactor</t>
    <phoneticPr fontId="1" type="noConversion"/>
  </si>
  <si>
    <t>Invests at least 80% of assets in component securities of the underlying index, which consists of stocks exhibiting relatively higher momentum characteristics than the traditional market capitalization-weighted parent index.</t>
  </si>
  <si>
    <t>20.47B</t>
  </si>
  <si>
    <t>https://finance.yahoo.com/quote/MTUM</t>
  </si>
  <si>
    <t>QUAL</t>
  </si>
  <si>
    <t>USQualityFactor</t>
    <phoneticPr fontId="1" type="noConversion"/>
  </si>
  <si>
    <t>Invests at least 80% in component securities of the MSCI USA Index, which is based on a market capitalization-weighted parent index (quality factor focus).</t>
  </si>
  <si>
    <t>48.02B</t>
  </si>
  <si>
    <t>https://finance.yahoo.com/quote/QUAL</t>
  </si>
  <si>
    <t>SCHD</t>
  </si>
  <si>
    <t>USDividendEquity</t>
    <phoneticPr fontId="1" type="noConversion"/>
  </si>
  <si>
    <t>Invests in stocks of U.S. companies with high dividend yields and a record of consistently paying dividends, selected for fundamental strength based on financial ratios.</t>
  </si>
  <si>
    <t>71.64B</t>
  </si>
  <si>
    <t>https://finance.yahoo.com/quote/SCHD</t>
  </si>
  <si>
    <t>BND</t>
  </si>
  <si>
    <t>USTotalBondMkt</t>
    <phoneticPr fontId="1" type="noConversion"/>
  </si>
  <si>
    <t>Tracks a broad index of investment-grade, taxable, fixed income securities in the US with maturities over 1 year, using a sampling process.</t>
  </si>
  <si>
    <t>384.63B</t>
  </si>
  <si>
    <t>https://finance.yahoo.com/quote/BND</t>
  </si>
  <si>
    <t>LQD</t>
  </si>
  <si>
    <t>USIGCorpBond</t>
    <phoneticPr fontId="1" type="noConversion"/>
  </si>
  <si>
    <t>Invests at least 80% of assets in component securities of the underlying index, which provides a broad representation of the U.S. dollar-denominated liquid investment-grade corporate bond market.</t>
  </si>
  <si>
    <t>30.08B</t>
  </si>
  <si>
    <t>https://finance.yahoo.com/quote/LQD</t>
  </si>
  <si>
    <t>HYG</t>
  </si>
  <si>
    <t>USHYCorpBond</t>
    <phoneticPr fontId="1" type="noConversion"/>
  </si>
  <si>
    <t>Tracks a rules-based index of U.S. dollar-denominated high yield corporate bonds.</t>
  </si>
  <si>
    <t>19.84B</t>
  </si>
  <si>
    <t>https://finance.yahoo.com/quote/HYG</t>
  </si>
  <si>
    <t>TLT</t>
  </si>
  <si>
    <t>UST20+Yr</t>
    <phoneticPr fontId="1" type="noConversion"/>
  </si>
  <si>
    <t>Invests at least 80% of assets in component securities of an underlying index measuring the performance of U.S. Treasury obligations with remaining maturity of 20+ years.</t>
  </si>
  <si>
    <t>47.47B</t>
  </si>
  <si>
    <t>https://finance.yahoo.com/quote/TLT</t>
  </si>
  <si>
    <t>TBT</t>
  </si>
  <si>
    <t>ShortUST20+Yr</t>
    <phoneticPr fontId="1" type="noConversion"/>
  </si>
  <si>
    <t>The fund invests in financial instruments that ProShare Advisors believes, in combination, should produce daily returns consistent with the Daily Target. The index includes publicly-issued U.S. Treasury securities that have a remaining maturity greater than or equal to twenty years and have $300 million or more of outstanding face value, excluding amounts held by the Federal Reserve. The fund is non-diversified.</t>
  </si>
  <si>
    <t>0.26B</t>
  </si>
  <si>
    <t>https://finance.yahoo.com/quote/TBT</t>
  </si>
  <si>
    <t>TMF</t>
  </si>
  <si>
    <t>DailyUST20+YrX3</t>
    <phoneticPr fontId="1" type="noConversion"/>
  </si>
  <si>
    <t>3X leveraged exposure to the ICE U.S. Treasury 20+ Year Bond Index (leveraged long rates bet).</t>
  </si>
  <si>
    <t>3.89B</t>
  </si>
  <si>
    <t>https://finance.yahoo.com/quote/TMF</t>
  </si>
  <si>
    <t>TMV</t>
  </si>
  <si>
    <t>ShortDailyUST20+YrX3</t>
    <phoneticPr fontId="1" type="noConversion"/>
  </si>
  <si>
    <t>Offers 3x short leveraged exposure to the broad-based NYSE 20 Year Plus Treasury Bond Index, making it a powerful tool for investors with a bearish short-term outlook for U.S. long-term treasuries.</t>
  </si>
  <si>
    <t>0.16B</t>
  </si>
  <si>
    <t>https://finance.yahoo.com/quote/TMV</t>
  </si>
  <si>
    <t>TIP</t>
  </si>
  <si>
    <t>TIPS</t>
    <phoneticPr fontId="1" type="noConversion"/>
  </si>
  <si>
    <t>Tracks inflation-protected U.S. Treasury securities with maturity over one year.</t>
  </si>
  <si>
    <t>13.88B</t>
  </si>
  <si>
    <t>https://finance.yahoo.com/quote/TIP</t>
  </si>
  <si>
    <t>UUP</t>
  </si>
  <si>
    <t>BullishUSDollarIndex</t>
    <phoneticPr fontId="1" type="noConversion"/>
  </si>
  <si>
    <t>Invests in futures contracts to track an index reflecting changes in market value of long positions in DX Contracts (USD strength vs. basket).</t>
  </si>
  <si>
    <t>229.83M</t>
  </si>
  <si>
    <t>https://finance.yahoo.com/quote/UUP</t>
  </si>
  <si>
    <t>UDN</t>
  </si>
  <si>
    <t>BearishUSDollarIndex</t>
    <phoneticPr fontId="1" type="noConversion"/>
  </si>
  <si>
    <t>The fund seeks to track the index by establishing short positions in DX Contracts. DX Contracts are linked to the six underlying currencies, or the index currencies, of the U.S. Dollar index (USDX®), or the USDX®. The index currencies are Euro, Japanese Yen, British Pound, Canadian Dollar, Swedish Krona and Swiss Franc. The index reflects the changes in market value over time, whether positive or negative, of a short position in the DX Contract which expires during the months of March, June, September and December.</t>
  </si>
  <si>
    <t>0.14B</t>
  </si>
  <si>
    <t>https://finance.yahoo.com/quote/UDN</t>
  </si>
  <si>
    <t>ACWI</t>
  </si>
  <si>
    <t>AllCountryWorld</t>
    <phoneticPr fontId="1" type="noConversion"/>
  </si>
  <si>
    <t>Invests at least 80% of assets in component securities of the MSCI ACWI Index, a free float-adjusted market capitalization weighted index measuring combined equity market performance of developed and emerging markets countries.</t>
  </si>
  <si>
    <t>25.21B</t>
  </si>
  <si>
    <t>https://finance.yahoo.com/quote/ACWI</t>
  </si>
  <si>
    <t>VXUS</t>
  </si>
  <si>
    <t>InternationalStock</t>
    <phoneticPr fontId="1" type="noConversion"/>
  </si>
  <si>
    <t>Tracks the FTSE Global All Cap ex US Index, which measures equity market performance of companies in developed and emerging markets excluding the United States.</t>
  </si>
  <si>
    <t>573.72B</t>
  </si>
  <si>
    <t>https://finance.yahoo.com/quote/VXUS</t>
  </si>
  <si>
    <t>VWO</t>
  </si>
  <si>
    <t>EMStock</t>
    <phoneticPr fontId="1" type="noConversion"/>
  </si>
  <si>
    <t>Tracks the FTSE Emerging Markets All Cap China A Inclusion Index by sampling to hold a diversified collection of securities.</t>
  </si>
  <si>
    <t>142.58B</t>
  </si>
  <si>
    <t>https://finance.yahoo.com/quote/VWO</t>
  </si>
  <si>
    <t>EDC</t>
  </si>
  <si>
    <t>DailyEMBullX3</t>
    <phoneticPr fontId="1" type="noConversion"/>
  </si>
  <si>
    <t>The fund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the fund's investment objective. The index is designed to represent the performance of large- and mid-capitalization securities across 24 emerging market countries. The fund is non-diversified.</t>
  </si>
  <si>
    <t>0.12B</t>
  </si>
  <si>
    <t>https://finance.yahoo.com/quote/EDC</t>
  </si>
  <si>
    <t>EMB</t>
  </si>
  <si>
    <t>EMBondUSD</t>
    <phoneticPr fontId="1" type="noConversion"/>
  </si>
  <si>
    <t>Invests at least 80% of assets in component securities of an index tracking U.S. dollar-denominated emerging markets debt.</t>
  </si>
  <si>
    <t>16.7B</t>
  </si>
  <si>
    <t>https://finance.yahoo.com/quote/EMB</t>
  </si>
  <si>
    <t>BNDX</t>
  </si>
  <si>
    <t>InternationalBond</t>
    <phoneticPr fontId="1" type="noConversion"/>
  </si>
  <si>
    <t>Tracks the performance of the Bloomberg Global Aggregate ex-USD Float Adjusted RIC Capped Index (USD Hedged), a broad-based measure of the global, investment-grade, fixed-rate debt markets.</t>
  </si>
  <si>
    <t>113.83B</t>
  </si>
  <si>
    <t>https://finance.yahoo.com/quote/BNDX</t>
  </si>
  <si>
    <t>GLD</t>
  </si>
  <si>
    <t>SPDRGold</t>
    <phoneticPr fontId="1" type="noConversion"/>
  </si>
  <si>
    <t>Seeks to reflect the performance of the price of gold bullion, less the Trust’s expenses, by holding gold bars and issuing/distributing Baskets in exchange for deposits and redemptions of gold.</t>
  </si>
  <si>
    <t>148.23B</t>
  </si>
  <si>
    <t>https://finance.yahoo.com/quote/GLD</t>
  </si>
  <si>
    <t>UCO</t>
  </si>
  <si>
    <t>BloombergCrudeOil</t>
    <phoneticPr fontId="1" type="noConversion"/>
  </si>
  <si>
    <t>The fund seeks to meet its investment objective by investing, under normal market conditions, in any one of, or combinations of, Financial Instruments (including swap agreements, futures contracts, forward contracts, and option contracts) based on WTI sweet, light crude oil. It will not invest directly in oil.</t>
  </si>
  <si>
    <t>0.39B</t>
  </si>
  <si>
    <t>https://finance.yahoo.com/quote/UCO</t>
  </si>
  <si>
    <t>PDBC</t>
  </si>
  <si>
    <t>YieldDiversifiedCMD</t>
    <phoneticPr fontId="1" type="noConversion"/>
  </si>
  <si>
    <t>Invests in a combination of financial instruments that are economically linked to the world's most heavily traded commodities.</t>
  </si>
  <si>
    <t>4.55B</t>
  </si>
  <si>
    <t>https://finance.yahoo.com/quote/PDBC</t>
  </si>
  <si>
    <t>ticker</t>
  </si>
  <si>
    <r>
      <t>name</t>
    </r>
    <r>
      <rPr>
        <b/>
        <sz val="11"/>
        <color theme="1"/>
        <rFont val="等线"/>
        <family val="4"/>
        <charset val="134"/>
      </rPr>
      <t>（品种名）</t>
    </r>
  </si>
  <si>
    <r>
      <t>strategy</t>
    </r>
    <r>
      <rPr>
        <b/>
        <sz val="11"/>
        <color theme="1"/>
        <rFont val="等线"/>
        <family val="4"/>
        <charset val="134"/>
      </rPr>
      <t>（介绍这个品种）</t>
    </r>
  </si>
  <si>
    <t>AUM</t>
  </si>
  <si>
    <t>fees</t>
  </si>
  <si>
    <t>InceptionDate</t>
  </si>
  <si>
    <t>Yahoo Link</t>
  </si>
  <si>
    <t>ZVOL</t>
  </si>
  <si>
    <t>VolPremiumPlus</t>
    <phoneticPr fontId="1" type="noConversion"/>
  </si>
  <si>
    <r>
      <rPr>
        <sz val="11"/>
        <color theme="1"/>
        <rFont val="等线"/>
        <family val="2"/>
      </rPr>
      <t>通过期权或期货策略捕捉波动率溢价（</t>
    </r>
    <r>
      <rPr>
        <sz val="11"/>
        <color theme="1"/>
        <rFont val="Calibri"/>
        <family val="2"/>
      </rPr>
      <t>volatility premium</t>
    </r>
    <r>
      <rPr>
        <sz val="11"/>
        <color theme="1"/>
        <rFont val="等线"/>
        <family val="2"/>
      </rPr>
      <t>），旨在从波动率市场中获取额外收益，可能涉及卖出期权等。</t>
    </r>
  </si>
  <si>
    <r>
      <rPr>
        <sz val="11"/>
        <color theme="1"/>
        <rFont val="等线"/>
        <family val="2"/>
      </rPr>
      <t>≈</t>
    </r>
    <r>
      <rPr>
        <sz val="11"/>
        <color theme="1"/>
        <rFont val="Calibri"/>
        <family val="2"/>
      </rPr>
      <t xml:space="preserve"> $13.87M</t>
    </r>
  </si>
  <si>
    <t>https://finance.yahoo.com/quote/ZVOL</t>
  </si>
  <si>
    <t>GVAL</t>
  </si>
  <si>
    <t>GlobalValue</t>
    <phoneticPr fontId="1" type="noConversion"/>
  </si>
  <si>
    <r>
      <rPr>
        <sz val="11"/>
        <color theme="1"/>
        <rFont val="等线"/>
        <family val="2"/>
      </rPr>
      <t>主动管理，使用量化算法筛选发达和新兴市场中具有强价值特征的股票，至少</t>
    </r>
    <r>
      <rPr>
        <sz val="11"/>
        <color theme="1"/>
        <rFont val="Calibri"/>
        <family val="2"/>
      </rPr>
      <t xml:space="preserve"> 80% </t>
    </r>
    <r>
      <rPr>
        <sz val="11"/>
        <color theme="1"/>
        <rFont val="等线"/>
        <family val="2"/>
      </rPr>
      <t>资产投资于此类权益证券。</t>
    </r>
  </si>
  <si>
    <t>$414.89M</t>
  </si>
  <si>
    <t>https://finance.yahoo.com/quote/GVAL</t>
  </si>
  <si>
    <t>GMOM</t>
  </si>
  <si>
    <t>GlobalMomentum</t>
    <phoneticPr fontId="1" type="noConversion"/>
  </si>
  <si>
    <r>
      <rPr>
        <sz val="11"/>
        <color theme="1"/>
        <rFont val="等线"/>
        <family val="2"/>
      </rPr>
      <t>全球动量策略</t>
    </r>
    <r>
      <rPr>
        <sz val="11"/>
        <color theme="1"/>
        <rFont val="Calibri"/>
        <family val="2"/>
      </rPr>
      <t xml:space="preserve"> ETF</t>
    </r>
    <r>
      <rPr>
        <sz val="11"/>
        <color theme="1"/>
        <rFont val="等线"/>
        <family val="2"/>
      </rPr>
      <t>，投资近期表现强劲的美国和外国股票、固定收益等资产，旨在保值增值，但波动较高。</t>
    </r>
  </si>
  <si>
    <r>
      <rPr>
        <sz val="11"/>
        <color theme="1"/>
        <rFont val="等线"/>
        <family val="2"/>
      </rPr>
      <t>≈</t>
    </r>
    <r>
      <rPr>
        <sz val="11"/>
        <color theme="1"/>
        <rFont val="Calibri"/>
        <family val="2"/>
      </rPr>
      <t xml:space="preserve"> $126.26M</t>
    </r>
  </si>
  <si>
    <t>https://finance.yahoo.com/quote/GMOM</t>
  </si>
  <si>
    <t>GAA</t>
  </si>
  <si>
    <t>GlobalAssetAllocation</t>
    <phoneticPr fontId="1" type="noConversion"/>
  </si>
  <si>
    <r>
      <rPr>
        <sz val="11"/>
        <color theme="1"/>
        <rFont val="等线"/>
        <family val="2"/>
      </rPr>
      <t>全球资产配置</t>
    </r>
    <r>
      <rPr>
        <sz val="11"/>
        <color theme="1"/>
        <rFont val="Calibri"/>
        <family val="2"/>
      </rPr>
      <t xml:space="preserve"> ETF</t>
    </r>
    <r>
      <rPr>
        <sz val="11"/>
        <color theme="1"/>
        <rFont val="等线"/>
        <family val="2"/>
      </rPr>
      <t>，通过投资其他</t>
    </r>
    <r>
      <rPr>
        <sz val="11"/>
        <color theme="1"/>
        <rFont val="Calibri"/>
        <family val="2"/>
      </rPr>
      <t xml:space="preserve"> ETF </t>
    </r>
    <r>
      <rPr>
        <sz val="11"/>
        <color theme="1"/>
        <rFont val="等线"/>
        <family val="2"/>
      </rPr>
      <t>暴露于股票、固定收益、房地产、商品、货币等资产类别，并融入价值、动量、趋势因子。</t>
    </r>
  </si>
  <si>
    <t>$61.19M</t>
  </si>
  <si>
    <t>https://finance.yahoo.com/quote/GAA</t>
  </si>
  <si>
    <t>CFIT</t>
  </si>
  <si>
    <t>FixedIncomeTrend</t>
    <phoneticPr fontId="1" type="noConversion"/>
  </si>
  <si>
    <r>
      <rPr>
        <sz val="11"/>
        <color theme="1"/>
        <rFont val="等线"/>
        <family val="2"/>
      </rPr>
      <t>主动管理固定收益趋势</t>
    </r>
    <r>
      <rPr>
        <sz val="11"/>
        <color theme="1"/>
        <rFont val="Calibri"/>
        <family val="2"/>
      </rPr>
      <t xml:space="preserve"> ETF</t>
    </r>
    <r>
      <rPr>
        <sz val="11"/>
        <color theme="1"/>
        <rFont val="等线"/>
        <family val="2"/>
      </rPr>
      <t>，使用模型驱动方法投资固定收益证券，结合趋势跟踪策略追求收入和资本增值（新基金，历史有限）。</t>
    </r>
  </si>
  <si>
    <r>
      <rPr>
        <sz val="11"/>
        <color theme="1"/>
        <rFont val="等线"/>
        <family val="2"/>
      </rPr>
      <t>未获取（新基金，小规模）</t>
    </r>
  </si>
  <si>
    <t>https://finance.yahoo.com/quote/CFIT</t>
  </si>
  <si>
    <t>ENDW</t>
  </si>
  <si>
    <t>EndowmentStyle</t>
    <phoneticPr fontId="1" type="noConversion"/>
  </si>
  <si>
    <r>
      <rPr>
        <sz val="11"/>
        <color theme="1"/>
        <rFont val="等线"/>
        <family val="2"/>
      </rPr>
      <t>捐赠基金风格</t>
    </r>
    <r>
      <rPr>
        <sz val="11"/>
        <color theme="1"/>
        <rFont val="Calibri"/>
        <family val="2"/>
      </rPr>
      <t xml:space="preserve"> ETF</t>
    </r>
    <r>
      <rPr>
        <sz val="11"/>
        <color theme="1"/>
        <rFont val="等线"/>
        <family val="2"/>
      </rPr>
      <t>，提供多元化全球资产暴露（股票、固定收益、实物资产等），融入价值、动量、趋势因子，使用衍生品</t>
    </r>
    <r>
      <rPr>
        <sz val="11"/>
        <color theme="1"/>
        <rFont val="Calibri"/>
        <family val="2"/>
      </rPr>
      <t>/</t>
    </r>
    <r>
      <rPr>
        <sz val="11"/>
        <color theme="1"/>
        <rFont val="等线"/>
        <family val="2"/>
      </rPr>
      <t>杠杆（新基金）。</t>
    </r>
  </si>
  <si>
    <r>
      <rPr>
        <sz val="11"/>
        <color theme="1"/>
        <rFont val="等线"/>
        <family val="2"/>
      </rPr>
      <t>≈</t>
    </r>
    <r>
      <rPr>
        <sz val="11"/>
        <color theme="1"/>
        <rFont val="Calibri"/>
        <family val="2"/>
      </rPr>
      <t xml:space="preserve"> $124M</t>
    </r>
  </si>
  <si>
    <t>https://finance.yahoo.com/quote/ENDW</t>
  </si>
  <si>
    <t>OOQB</t>
  </si>
  <si>
    <t>Nasdaq100Bitcoin</t>
    <phoneticPr fontId="1" type="noConversion"/>
  </si>
  <si>
    <r>
      <rPr>
        <sz val="11"/>
        <color theme="1"/>
        <rFont val="等线"/>
        <family val="2"/>
      </rPr>
      <t>主动管理，提供</t>
    </r>
    <r>
      <rPr>
        <sz val="11"/>
        <color theme="1"/>
        <rFont val="Calibri"/>
        <family val="2"/>
      </rPr>
      <t xml:space="preserve"> 100% Nasdaq-100 </t>
    </r>
    <r>
      <rPr>
        <sz val="11"/>
        <color theme="1"/>
        <rFont val="等线"/>
        <family val="2"/>
      </rPr>
      <t>暴露</t>
    </r>
    <r>
      <rPr>
        <sz val="11"/>
        <color theme="1"/>
        <rFont val="Calibri"/>
        <family val="2"/>
      </rPr>
      <t xml:space="preserve"> + 100% Bitcoin </t>
    </r>
    <r>
      <rPr>
        <sz val="11"/>
        <color theme="1"/>
        <rFont val="等线"/>
        <family val="2"/>
      </rPr>
      <t>暴露，通过期货、基金等实现双重暴露（新基金）。</t>
    </r>
  </si>
  <si>
    <r>
      <rPr>
        <sz val="11"/>
        <color theme="1"/>
        <rFont val="等线"/>
        <family val="2"/>
      </rPr>
      <t>≈</t>
    </r>
    <r>
      <rPr>
        <sz val="11"/>
        <color theme="1"/>
        <rFont val="Calibri"/>
        <family val="2"/>
      </rPr>
      <t xml:space="preserve"> $0.88M</t>
    </r>
    <r>
      <rPr>
        <sz val="11"/>
        <color theme="1"/>
        <rFont val="等线"/>
        <family val="2"/>
      </rPr>
      <t>（小规模）</t>
    </r>
  </si>
  <si>
    <t>https://finance.yahoo.com/quote/OOQB</t>
  </si>
  <si>
    <t>OOSB</t>
  </si>
  <si>
    <t>SP500Bitcoin</t>
    <phoneticPr fontId="1" type="noConversion"/>
  </si>
  <si>
    <r>
      <rPr>
        <sz val="11"/>
        <color theme="1"/>
        <rFont val="等线"/>
        <family val="2"/>
      </rPr>
      <t>主动管理，提供</t>
    </r>
    <r>
      <rPr>
        <sz val="11"/>
        <color theme="1"/>
        <rFont val="Calibri"/>
        <family val="2"/>
      </rPr>
      <t xml:space="preserve"> 100% S&amp;P 500 </t>
    </r>
    <r>
      <rPr>
        <sz val="11"/>
        <color theme="1"/>
        <rFont val="等线"/>
        <family val="2"/>
      </rPr>
      <t>暴露</t>
    </r>
    <r>
      <rPr>
        <sz val="11"/>
        <color theme="1"/>
        <rFont val="Calibri"/>
        <family val="2"/>
      </rPr>
      <t xml:space="preserve"> + 100% Bitcoin </t>
    </r>
    <r>
      <rPr>
        <sz val="11"/>
        <color theme="1"/>
        <rFont val="等线"/>
        <family val="2"/>
      </rPr>
      <t>暴露，通过期货等实现双重暴露（新基金）。</t>
    </r>
  </si>
  <si>
    <r>
      <rPr>
        <sz val="11"/>
        <color theme="1"/>
        <rFont val="等线"/>
        <family val="2"/>
      </rPr>
      <t>≈</t>
    </r>
    <r>
      <rPr>
        <sz val="11"/>
        <color theme="1"/>
        <rFont val="Calibri"/>
        <family val="2"/>
      </rPr>
      <t xml:space="preserve"> $1.18M</t>
    </r>
    <r>
      <rPr>
        <sz val="11"/>
        <color theme="1"/>
        <rFont val="等线"/>
        <family val="2"/>
      </rPr>
      <t>（或更高）</t>
    </r>
  </si>
  <si>
    <t>https://finance.yahoo.com/quote/OOSB</t>
  </si>
  <si>
    <t>HOOG</t>
    <phoneticPr fontId="1" type="noConversion"/>
  </si>
  <si>
    <t>2XRobinhoodETF</t>
    <phoneticPr fontId="1" type="noConversion"/>
  </si>
  <si>
    <t>XYZG</t>
    <phoneticPr fontId="1" type="noConversion"/>
  </si>
  <si>
    <t>2XBlockETF</t>
    <phoneticPr fontId="1" type="noConversion"/>
  </si>
  <si>
    <t>CONL</t>
    <phoneticPr fontId="1" type="noConversion"/>
  </si>
  <si>
    <t>2XCoinbaseETF</t>
    <phoneticPr fontId="1" type="noConversion"/>
  </si>
  <si>
    <t>CRCA</t>
    <phoneticPr fontId="1" type="noConversion"/>
  </si>
  <si>
    <t>2XCircleInternetETF</t>
    <phoneticPr fontId="1" type="noConversion"/>
  </si>
  <si>
    <t>LULG</t>
    <phoneticPr fontId="1" type="noConversion"/>
  </si>
  <si>
    <t>2XLululemonETF</t>
    <phoneticPr fontId="1" type="noConversion"/>
  </si>
  <si>
    <t>PDDL</t>
    <phoneticPr fontId="1" type="noConversion"/>
  </si>
  <si>
    <t>2XPingduoduoETF</t>
    <phoneticPr fontId="1" type="noConversion"/>
  </si>
  <si>
    <t>BITU</t>
    <phoneticPr fontId="1" type="noConversion"/>
  </si>
  <si>
    <t>2XBTC</t>
    <phoneticPr fontId="1" type="noConversion"/>
  </si>
  <si>
    <t>ETHU</t>
    <phoneticPr fontId="1" type="noConversion"/>
  </si>
  <si>
    <t>2XETH</t>
    <phoneticPr fontId="1" type="noConversion"/>
  </si>
  <si>
    <t>SOLT</t>
    <phoneticPr fontId="1" type="noConversion"/>
  </si>
  <si>
    <t>2XSOL</t>
    <phoneticPr fontId="1" type="noConversion"/>
  </si>
  <si>
    <t>QLD</t>
    <phoneticPr fontId="1" type="noConversion"/>
  </si>
  <si>
    <t>2XNQ100ETF</t>
    <phoneticPr fontId="1" type="noConversion"/>
  </si>
  <si>
    <t>TQQQ</t>
    <phoneticPr fontId="1" type="noConversion"/>
  </si>
  <si>
    <t>3XNQ100ETF</t>
    <phoneticPr fontId="1" type="noConversion"/>
  </si>
  <si>
    <t>A50ETF</t>
    <phoneticPr fontId="1" type="noConversion"/>
  </si>
  <si>
    <t>XPP</t>
    <phoneticPr fontId="1" type="noConversion"/>
  </si>
  <si>
    <t>2XA50ETF</t>
    <phoneticPr fontId="1" type="noConversion"/>
  </si>
  <si>
    <t>CHAU</t>
    <phoneticPr fontId="1" type="noConversion"/>
  </si>
  <si>
    <t>2XSHSZETF</t>
    <phoneticPr fontId="1" type="noConversion"/>
  </si>
  <si>
    <r>
      <t>proxy China</t>
    </r>
    <r>
      <rPr>
        <sz val="11"/>
        <color theme="1"/>
        <rFont val="Microsoft YaHei"/>
        <family val="2"/>
        <charset val="134"/>
      </rPr>
      <t>沪深</t>
    </r>
    <r>
      <rPr>
        <sz val="11"/>
        <color theme="1"/>
        <rFont val="Calibri"/>
        <family val="2"/>
      </rPr>
      <t>300</t>
    </r>
    <phoneticPr fontId="1" type="noConversion"/>
  </si>
  <si>
    <t>CWEB</t>
    <phoneticPr fontId="1" type="noConversion"/>
  </si>
  <si>
    <t>2XChinaInternetETF</t>
    <phoneticPr fontId="1" type="noConversion"/>
  </si>
  <si>
    <r>
      <t>Proxy</t>
    </r>
    <r>
      <rPr>
        <sz val="11"/>
        <color theme="1"/>
        <rFont val="Microsoft YaHei"/>
        <family val="2"/>
        <charset val="134"/>
      </rPr>
      <t>中国互联网</t>
    </r>
    <phoneticPr fontId="1" type="noConversion"/>
  </si>
  <si>
    <t>3189.HK</t>
    <phoneticPr fontId="1" type="noConversion"/>
  </si>
  <si>
    <t>CSILiquorETF</t>
    <phoneticPr fontId="1" type="noConversion"/>
  </si>
  <si>
    <r>
      <t>Proxy</t>
    </r>
    <r>
      <rPr>
        <sz val="11"/>
        <color theme="1"/>
        <rFont val="Microsoft YaHei"/>
        <family val="2"/>
        <charset val="134"/>
      </rPr>
      <t>中国白酒</t>
    </r>
    <phoneticPr fontId="1" type="noConversion"/>
  </si>
  <si>
    <t>GGLL</t>
    <phoneticPr fontId="1" type="noConversion"/>
  </si>
  <si>
    <t>2XGoogleETF</t>
    <phoneticPr fontId="1" type="noConversion"/>
  </si>
  <si>
    <t>TSM</t>
    <phoneticPr fontId="1" type="noConversion"/>
  </si>
  <si>
    <t>TSMX</t>
    <phoneticPr fontId="1" type="noConversion"/>
  </si>
  <si>
    <t>2XTSMETF</t>
    <phoneticPr fontId="1" type="noConversion"/>
  </si>
  <si>
    <t>NVDL</t>
    <phoneticPr fontId="1" type="noConversion"/>
  </si>
  <si>
    <t>2XNvdiaETF</t>
    <phoneticPr fontId="1" type="noConversion"/>
  </si>
  <si>
    <t>TSLL</t>
    <phoneticPr fontId="1" type="noConversion"/>
  </si>
  <si>
    <t>2XTeslaETF</t>
    <phoneticPr fontId="1" type="noConversion"/>
  </si>
  <si>
    <t>MSTU</t>
    <phoneticPr fontId="1" type="noConversion"/>
  </si>
  <si>
    <t>2XStrategyETF</t>
    <phoneticPr fontId="1" type="noConversion"/>
  </si>
  <si>
    <t>PTIR</t>
    <phoneticPr fontId="1" type="noConversion"/>
  </si>
  <si>
    <t>2XPalantirETF</t>
    <phoneticPr fontId="1" type="noConversion"/>
  </si>
  <si>
    <t>KRYP</t>
    <phoneticPr fontId="1" type="noConversion"/>
  </si>
  <si>
    <t>Coindesk20ETF</t>
    <phoneticPr fontId="1" type="noConversion"/>
  </si>
  <si>
    <t>ETHT</t>
    <phoneticPr fontId="1" type="noConversion"/>
  </si>
  <si>
    <t>UXRP</t>
    <phoneticPr fontId="1" type="noConversion"/>
  </si>
  <si>
    <t>2XXRP</t>
    <phoneticPr fontId="1" type="noConversion"/>
  </si>
  <si>
    <t>SLON</t>
    <phoneticPr fontId="1" type="noConversion"/>
  </si>
  <si>
    <t>7515.HK</t>
    <phoneticPr fontId="1" type="noConversion"/>
  </si>
  <si>
    <t>2XShortNK225</t>
  </si>
  <si>
    <t>DBMF</t>
    <phoneticPr fontId="1" type="noConversion"/>
  </si>
  <si>
    <t>DBiManagedFuturesETF</t>
    <phoneticPr fontId="1" type="noConversion"/>
  </si>
  <si>
    <t>Systematic Trend</t>
    <phoneticPr fontId="1" type="noConversion"/>
  </si>
  <si>
    <t>2.37B</t>
    <phoneticPr fontId="1" type="noConversion"/>
  </si>
  <si>
    <t>ITA</t>
    <phoneticPr fontId="1" type="noConversion"/>
  </si>
  <si>
    <t>iSharesAerospaceDefenseETF</t>
    <phoneticPr fontId="1" type="noConversion"/>
  </si>
  <si>
    <t>SPDRAerospaceDefenseETF</t>
    <phoneticPr fontId="1" type="noConversion"/>
  </si>
  <si>
    <t>ARKX</t>
    <phoneticPr fontId="1" type="noConversion"/>
  </si>
  <si>
    <t>ARKSpaceETF</t>
    <phoneticPr fontId="1" type="noConversion"/>
  </si>
  <si>
    <t>UFO</t>
    <phoneticPr fontId="1" type="noConversion"/>
  </si>
  <si>
    <t>ProcureSpaceETF</t>
    <phoneticPr fontId="1" type="noConversion"/>
  </si>
  <si>
    <t>ROKT</t>
    <phoneticPr fontId="1" type="noConversion"/>
  </si>
  <si>
    <t>KenshoFinalFrontiersETF</t>
    <phoneticPr fontId="1" type="noConversion"/>
  </si>
  <si>
    <t>SGOV</t>
    <phoneticPr fontId="1" type="noConversion"/>
  </si>
  <si>
    <t>USTbill</t>
    <phoneticPr fontId="1" type="noConversion"/>
  </si>
  <si>
    <t>SHY</t>
    <phoneticPr fontId="1" type="noConversion"/>
  </si>
  <si>
    <t>UST3Yr</t>
    <phoneticPr fontId="1" type="noConversion"/>
  </si>
  <si>
    <t>IEF</t>
    <phoneticPr fontId="1" type="noConversion"/>
  </si>
  <si>
    <t>UST</t>
    <phoneticPr fontId="1" type="noConversion"/>
  </si>
  <si>
    <t>UST10YrX2</t>
    <phoneticPr fontId="1" type="noConversion"/>
  </si>
  <si>
    <t>PST</t>
    <phoneticPr fontId="1" type="noConversion"/>
  </si>
  <si>
    <t>ShortUST10YrX3</t>
    <phoneticPr fontId="1" type="noConversion"/>
  </si>
  <si>
    <t>ZT=F</t>
    <phoneticPr fontId="1" type="noConversion"/>
  </si>
  <si>
    <t>UST2Yr</t>
    <phoneticPr fontId="1" type="noConversion"/>
  </si>
  <si>
    <t>GLD</t>
    <phoneticPr fontId="1" type="noConversion"/>
  </si>
  <si>
    <t>GoldETF</t>
    <phoneticPr fontId="1" type="noConversion"/>
  </si>
  <si>
    <t>UGL</t>
    <phoneticPr fontId="1" type="noConversion"/>
  </si>
  <si>
    <t>2XGoldETF</t>
    <phoneticPr fontId="1" type="noConversion"/>
  </si>
  <si>
    <t>GLL</t>
    <phoneticPr fontId="1" type="noConversion"/>
  </si>
  <si>
    <t>2XShortGoldETF</t>
    <phoneticPr fontId="1" type="noConversion"/>
  </si>
  <si>
    <t>GDX</t>
    <phoneticPr fontId="1" type="noConversion"/>
  </si>
  <si>
    <t>GoldMinersETF</t>
    <phoneticPr fontId="1" type="noConversion"/>
  </si>
  <si>
    <t>NUGT</t>
    <phoneticPr fontId="1" type="noConversion"/>
  </si>
  <si>
    <t>2XGoldMinersETF</t>
    <phoneticPr fontId="1" type="noConversion"/>
  </si>
  <si>
    <t>SLV</t>
    <phoneticPr fontId="1" type="noConversion"/>
  </si>
  <si>
    <t>SilverETF</t>
    <phoneticPr fontId="1" type="noConversion"/>
  </si>
  <si>
    <t>AGQ</t>
    <phoneticPr fontId="1" type="noConversion"/>
  </si>
  <si>
    <t>2XSilverETF</t>
    <phoneticPr fontId="1" type="noConversion"/>
  </si>
  <si>
    <t>ZSL</t>
    <phoneticPr fontId="1" type="noConversion"/>
  </si>
  <si>
    <t>2XShortSilverETF</t>
    <phoneticPr fontId="1" type="noConversion"/>
  </si>
  <si>
    <t>MacroCMD</t>
    <phoneticPr fontId="1" type="noConversion"/>
  </si>
  <si>
    <t>PYPL</t>
    <phoneticPr fontId="1" type="noConversion"/>
  </si>
  <si>
    <t>PayPal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</si>
</sst>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宋体"/>
      <family val="2"/>
      <scheme val="minor"/>
    </font>
    <font>
      <sz val="9"/>
      <name val="宋体"/>
      <family val="3"/>
      <charset val="134"/>
      <scheme val="minor"/>
    </font>
    <font>
      <sz val="11"/>
      <color theme="1"/>
      <name val="Calibri"/>
      <family val="2"/>
    </font>
    <font>
      <sz val="11"/>
      <name val="Calibri"/>
      <family val="2"/>
    </font>
    <font>
      <sz val="11"/>
      <color rgb="FF000000"/>
      <name val="Calibri"/>
      <family val="2"/>
    </font>
    <font>
      <u/>
      <sz val="11"/>
      <color theme="10"/>
      <name val="宋体"/>
      <family val="2"/>
      <scheme val="minor"/>
    </font>
    <font>
      <u/>
      <sz val="11"/>
      <color theme="10"/>
      <name val="Calibri"/>
      <family val="2"/>
    </font>
    <font>
      <b/>
      <sz val="11"/>
      <color theme="1"/>
      <name val="Calibri"/>
      <family val="2"/>
    </font>
    <font>
      <b/>
      <sz val="11"/>
      <color theme="1"/>
      <name val="等线"/>
      <family val="4"/>
      <charset val="134"/>
    </font>
    <font>
      <sz val="11"/>
      <color theme="1"/>
      <name val="等线"/>
      <family val="2"/>
    </font>
    <font>
      <sz val="11"/>
      <color theme="1"/>
      <name val="Microsoft YaHei"/>
      <family val="2"/>
      <charset val="134"/>
    </font>
    <font>
      <sz val="11"/>
      <color rgb="FF00B0F0"/>
      <name val="Calibri"/>
      <family val="2"/>
    </font>
    <font>
      <sz val="11"/>
      <color theme="5" tint="-0.249977111117893"/>
      <name val="Calibri"/>
      <family val="2"/>
    </font>
    <font>
      <sz val="11"/>
      <color rgb="FFFF0000"/>
      <name val="Calibri"/>
      <family val="2"/>
    </font>
    <font>
      <sz val="11"/>
      <color rgb="FF00B050"/>
      <name val="Calibri"/>
      <family val="2"/>
    </font>
  </fonts>
  <fills count="3">
    <fill>
      <patternFill patternType="none"/>
    </fill>
    <fill>
      <patternFill patternType="gray125"/>
    </fill>
    <fill>
      <patternFill patternType="solid">
        <fgColor theme="5" tint="0.79998168889431442"/>
        <bgColor indexed="64"/>
      </patternFill>
    </fill>
  </fills>
  <borders count="3">
    <border>
      <left/>
      <right/>
      <top/>
      <bottom/>
      <diagonal/>
    </border>
    <border>
      <left/>
      <right/>
      <top/>
      <bottom style="thin">
        <color indexed="64"/>
      </bottom>
      <diagonal/>
    </border>
    <border>
      <left/>
      <right/>
      <top/>
      <bottom style="medium">
        <color indexed="64"/>
      </bottom>
      <diagonal/>
    </border>
  </borders>
  <cellStyleXfs count="2">
    <xf numFmtId="0" fontId="0" fillId="0" borderId="0"/>
    <xf numFmtId="0" fontId="5" fillId="0" borderId="0" applyNumberFormat="0" applyFill="0" applyBorder="0" applyAlignment="0" applyProtection="0"/>
  </cellStyleXfs>
  <cellXfs count="24">
    <xf numFmtId="0" fontId="0" fillId="0" borderId="0" xfId="0"/>
    <xf numFmtId="0" fontId="4" fillId="2" borderId="0" xfId="0" applyFont="1" applyFill="1" applyAlignment="1">
      <alignment horizontal="left" vertical="center"/>
    </xf>
    <xf numFmtId="0" fontId="2" fillId="2" borderId="2" xfId="0" applyFont="1" applyFill="1" applyBorder="1" applyAlignment="1">
      <alignment horizontal="left" vertical="center"/>
    </xf>
    <xf numFmtId="0" fontId="2" fillId="0" borderId="2" xfId="0" applyFont="1" applyBorder="1" applyAlignment="1">
      <alignment horizontal="left" vertical="center"/>
    </xf>
    <xf numFmtId="0" fontId="2" fillId="2" borderId="0" xfId="0" applyFont="1" applyFill="1" applyAlignment="1">
      <alignment horizontal="left" vertical="center"/>
    </xf>
    <xf numFmtId="0" fontId="2" fillId="0" borderId="0" xfId="0" applyFont="1" applyAlignment="1">
      <alignment horizontal="left" vertical="center"/>
    </xf>
    <xf numFmtId="10" fontId="2" fillId="0" borderId="0" xfId="0" applyNumberFormat="1" applyFont="1" applyAlignment="1">
      <alignment horizontal="left" vertical="center"/>
    </xf>
    <xf numFmtId="14" fontId="2" fillId="0" borderId="0" xfId="0" applyNumberFormat="1" applyFont="1" applyAlignment="1">
      <alignment horizontal="left" vertical="center"/>
    </xf>
    <xf numFmtId="0" fontId="6" fillId="0" borderId="0" xfId="1" applyFont="1" applyBorder="1" applyAlignment="1">
      <alignment horizontal="left" vertical="center"/>
    </xf>
    <xf numFmtId="0" fontId="7" fillId="0" borderId="0" xfId="0" applyFont="1" applyAlignment="1">
      <alignment horizontal="left" vertical="center"/>
    </xf>
    <xf numFmtId="0" fontId="2" fillId="2" borderId="1" xfId="0" applyFont="1" applyFill="1" applyBorder="1" applyAlignment="1">
      <alignment horizontal="left" vertical="center"/>
    </xf>
    <xf numFmtId="0" fontId="2" fillId="0" borderId="1" xfId="0" applyFont="1" applyBorder="1" applyAlignment="1">
      <alignment horizontal="left" vertical="center"/>
    </xf>
    <xf numFmtId="10" fontId="2" fillId="0" borderId="1" xfId="0" applyNumberFormat="1" applyFont="1" applyBorder="1" applyAlignment="1">
      <alignment horizontal="left" vertical="center"/>
    </xf>
    <xf numFmtId="14" fontId="2" fillId="0" borderId="1" xfId="0" applyNumberFormat="1" applyFont="1" applyBorder="1" applyAlignment="1">
      <alignment horizontal="left" vertical="center"/>
    </xf>
    <xf numFmtId="0" fontId="6" fillId="0" borderId="1" xfId="1" applyFont="1" applyBorder="1" applyAlignment="1">
      <alignment horizontal="left" vertical="center"/>
    </xf>
    <xf numFmtId="0" fontId="3" fillId="2" borderId="0" xfId="0" applyFont="1" applyFill="1" applyAlignment="1">
      <alignment horizontal="left" vertical="center"/>
    </xf>
    <xf numFmtId="0" fontId="3" fillId="0" borderId="0" xfId="0" applyFont="1" applyAlignment="1">
      <alignment horizontal="left" vertical="center"/>
    </xf>
    <xf numFmtId="0" fontId="6" fillId="0" borderId="0" xfId="1" applyFont="1" applyAlignment="1">
      <alignment horizontal="left" vertical="center"/>
    </xf>
    <xf numFmtId="0" fontId="3" fillId="2" borderId="1" xfId="0" applyFont="1" applyFill="1" applyBorder="1" applyAlignment="1">
      <alignment horizontal="left" vertical="center"/>
    </xf>
    <xf numFmtId="0" fontId="11" fillId="2" borderId="0" xfId="0" applyFont="1" applyFill="1" applyAlignment="1">
      <alignment horizontal="left" vertical="center"/>
    </xf>
    <xf numFmtId="0" fontId="12" fillId="2" borderId="0" xfId="0" applyFont="1" applyFill="1" applyAlignment="1">
      <alignment horizontal="left" vertical="center"/>
    </xf>
    <xf numFmtId="0" fontId="13" fillId="2" borderId="0" xfId="0" applyFont="1" applyFill="1" applyAlignment="1">
      <alignment horizontal="left" vertical="center"/>
    </xf>
    <xf numFmtId="0" fontId="14" fillId="2" borderId="0" xfId="0" applyFont="1" applyFill="1" applyAlignment="1">
      <alignment horizontal="left" vertical="center"/>
    </xf>
    <xf numFmtId="0" fontId="14" fillId="2" borderId="1" xfId="0" applyFont="1" applyFill="1" applyBorder="1" applyAlignment="1">
      <alignment horizontal="left" vertical="center"/>
    </xf>
  </cellXfs>
  <cellStyles count="2">
    <cellStyle name="常规" xfId="0" builtinId="0"/>
    <cellStyle name="超链接" xfId="1" builtinId="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finance.yahoo.com/quote/LQD" TargetMode="External"/><Relationship Id="rId18" Type="http://schemas.openxmlformats.org/officeDocument/2006/relationships/hyperlink" Target="https://finance.yahoo.com/quote/PDBC" TargetMode="External"/><Relationship Id="rId26" Type="http://schemas.openxmlformats.org/officeDocument/2006/relationships/hyperlink" Target="https://finance.yahoo.com/quote/SH" TargetMode="External"/><Relationship Id="rId39" Type="http://schemas.openxmlformats.org/officeDocument/2006/relationships/hyperlink" Target="https://finance.yahoo.com/quote/ARTY" TargetMode="External"/><Relationship Id="rId21" Type="http://schemas.openxmlformats.org/officeDocument/2006/relationships/hyperlink" Target="https://finance.yahoo.com/quote/USMV" TargetMode="External"/><Relationship Id="rId34" Type="http://schemas.openxmlformats.org/officeDocument/2006/relationships/hyperlink" Target="https://finance.yahoo.com/quote/ALLW" TargetMode="External"/><Relationship Id="rId42" Type="http://schemas.openxmlformats.org/officeDocument/2006/relationships/hyperlink" Target="https://finance.yahoo.com/quote/NLR" TargetMode="External"/><Relationship Id="rId47" Type="http://schemas.openxmlformats.org/officeDocument/2006/relationships/hyperlink" Target="https://finance.yahoo.com/quote/XT" TargetMode="External"/><Relationship Id="rId50" Type="http://schemas.openxmlformats.org/officeDocument/2006/relationships/hyperlink" Target="https://finance.yahoo.com/quote/ICLN" TargetMode="External"/><Relationship Id="rId55" Type="http://schemas.openxmlformats.org/officeDocument/2006/relationships/hyperlink" Target="https://finance.yahoo.com/quote/GVAL" TargetMode="External"/><Relationship Id="rId7" Type="http://schemas.openxmlformats.org/officeDocument/2006/relationships/hyperlink" Target="https://finance.yahoo.com/quote/ACWI" TargetMode="External"/><Relationship Id="rId2" Type="http://schemas.openxmlformats.org/officeDocument/2006/relationships/hyperlink" Target="https://finance.yahoo.com/quote/VTI" TargetMode="External"/><Relationship Id="rId16" Type="http://schemas.openxmlformats.org/officeDocument/2006/relationships/hyperlink" Target="https://finance.yahoo.com/quote/BNDX" TargetMode="External"/><Relationship Id="rId29" Type="http://schemas.openxmlformats.org/officeDocument/2006/relationships/hyperlink" Target="https://finance.yahoo.com/quote/TBT" TargetMode="External"/><Relationship Id="rId11" Type="http://schemas.openxmlformats.org/officeDocument/2006/relationships/hyperlink" Target="https://finance.yahoo.com/quote/TIP" TargetMode="External"/><Relationship Id="rId24" Type="http://schemas.openxmlformats.org/officeDocument/2006/relationships/hyperlink" Target="https://finance.yahoo.com/quote/TAIL" TargetMode="External"/><Relationship Id="rId32" Type="http://schemas.openxmlformats.org/officeDocument/2006/relationships/hyperlink" Target="https://finance.yahoo.com/quote/UCO" TargetMode="External"/><Relationship Id="rId37" Type="http://schemas.openxmlformats.org/officeDocument/2006/relationships/hyperlink" Target="https://finance.yahoo.com/quote/IHAK" TargetMode="External"/><Relationship Id="rId40" Type="http://schemas.openxmlformats.org/officeDocument/2006/relationships/hyperlink" Target="https://finance.yahoo.com/quote/IBLC" TargetMode="External"/><Relationship Id="rId45" Type="http://schemas.openxmlformats.org/officeDocument/2006/relationships/hyperlink" Target="https://finance.yahoo.com/quote/ICOP" TargetMode="External"/><Relationship Id="rId53" Type="http://schemas.openxmlformats.org/officeDocument/2006/relationships/hyperlink" Target="https://finance.yahoo.com/quote/SHLD" TargetMode="External"/><Relationship Id="rId58" Type="http://schemas.openxmlformats.org/officeDocument/2006/relationships/hyperlink" Target="https://finance.yahoo.com/quote/CFIT" TargetMode="External"/><Relationship Id="rId5" Type="http://schemas.openxmlformats.org/officeDocument/2006/relationships/hyperlink" Target="https://finance.yahoo.com/quote/VUG" TargetMode="External"/><Relationship Id="rId61" Type="http://schemas.openxmlformats.org/officeDocument/2006/relationships/hyperlink" Target="https://finance.yahoo.com/quote/OOSB" TargetMode="External"/><Relationship Id="rId19" Type="http://schemas.openxmlformats.org/officeDocument/2006/relationships/hyperlink" Target="https://finance.yahoo.com/quote/UUP" TargetMode="External"/><Relationship Id="rId14" Type="http://schemas.openxmlformats.org/officeDocument/2006/relationships/hyperlink" Target="https://finance.yahoo.com/quote/HYG" TargetMode="External"/><Relationship Id="rId22" Type="http://schemas.openxmlformats.org/officeDocument/2006/relationships/hyperlink" Target="https://finance.yahoo.com/quote/MTUM" TargetMode="External"/><Relationship Id="rId27" Type="http://schemas.openxmlformats.org/officeDocument/2006/relationships/hyperlink" Target="https://finance.yahoo.com/quote/SQQQ" TargetMode="External"/><Relationship Id="rId30" Type="http://schemas.openxmlformats.org/officeDocument/2006/relationships/hyperlink" Target="https://finance.yahoo.com/quote/TMV" TargetMode="External"/><Relationship Id="rId35" Type="http://schemas.openxmlformats.org/officeDocument/2006/relationships/hyperlink" Target="https://finance.yahoo.com/quote/KOMP" TargetMode="External"/><Relationship Id="rId43" Type="http://schemas.openxmlformats.org/officeDocument/2006/relationships/hyperlink" Target="https://finance.yahoo.com/quote/TAN" TargetMode="External"/><Relationship Id="rId48" Type="http://schemas.openxmlformats.org/officeDocument/2006/relationships/hyperlink" Target="https://finance.yahoo.com/quote/IBRN" TargetMode="External"/><Relationship Id="rId56" Type="http://schemas.openxmlformats.org/officeDocument/2006/relationships/hyperlink" Target="https://finance.yahoo.com/quote/GMOM" TargetMode="External"/><Relationship Id="rId8" Type="http://schemas.openxmlformats.org/officeDocument/2006/relationships/hyperlink" Target="https://finance.yahoo.com/quote/VXUS" TargetMode="External"/><Relationship Id="rId51" Type="http://schemas.openxmlformats.org/officeDocument/2006/relationships/hyperlink" Target="https://finance.yahoo.com/quote/KROP" TargetMode="External"/><Relationship Id="rId3" Type="http://schemas.openxmlformats.org/officeDocument/2006/relationships/hyperlink" Target="https://finance.yahoo.com/quote/QQQ" TargetMode="External"/><Relationship Id="rId12" Type="http://schemas.openxmlformats.org/officeDocument/2006/relationships/hyperlink" Target="https://finance.yahoo.com/quote/BND" TargetMode="External"/><Relationship Id="rId17" Type="http://schemas.openxmlformats.org/officeDocument/2006/relationships/hyperlink" Target="https://finance.yahoo.com/quote/GLD" TargetMode="External"/><Relationship Id="rId25" Type="http://schemas.openxmlformats.org/officeDocument/2006/relationships/hyperlink" Target="https://finance.yahoo.com/quote/VIXY" TargetMode="External"/><Relationship Id="rId33" Type="http://schemas.openxmlformats.org/officeDocument/2006/relationships/hyperlink" Target="https://finance.yahoo.com/quote/EDC" TargetMode="External"/><Relationship Id="rId38" Type="http://schemas.openxmlformats.org/officeDocument/2006/relationships/hyperlink" Target="https://finance.yahoo.com/quote/QTUM" TargetMode="External"/><Relationship Id="rId46" Type="http://schemas.openxmlformats.org/officeDocument/2006/relationships/hyperlink" Target="https://finance.yahoo.com/quote/HYDR" TargetMode="External"/><Relationship Id="rId59" Type="http://schemas.openxmlformats.org/officeDocument/2006/relationships/hyperlink" Target="https://finance.yahoo.com/quote/ENDW" TargetMode="External"/><Relationship Id="rId20" Type="http://schemas.openxmlformats.org/officeDocument/2006/relationships/hyperlink" Target="https://finance.yahoo.com/quote/SCHD" TargetMode="External"/><Relationship Id="rId41" Type="http://schemas.openxmlformats.org/officeDocument/2006/relationships/hyperlink" Target="https://finance.yahoo.com/quote/IBAT" TargetMode="External"/><Relationship Id="rId54" Type="http://schemas.openxmlformats.org/officeDocument/2006/relationships/hyperlink" Target="https://finance.yahoo.com/quote/ZVOL" TargetMode="External"/><Relationship Id="rId1" Type="http://schemas.openxmlformats.org/officeDocument/2006/relationships/hyperlink" Target="https://finance.yahoo.com/quote/SPY" TargetMode="External"/><Relationship Id="rId6" Type="http://schemas.openxmlformats.org/officeDocument/2006/relationships/hyperlink" Target="https://finance.yahoo.com/quote/VTV" TargetMode="External"/><Relationship Id="rId15" Type="http://schemas.openxmlformats.org/officeDocument/2006/relationships/hyperlink" Target="https://finance.yahoo.com/quote/EMB" TargetMode="External"/><Relationship Id="rId23" Type="http://schemas.openxmlformats.org/officeDocument/2006/relationships/hyperlink" Target="https://finance.yahoo.com/quote/QUAL" TargetMode="External"/><Relationship Id="rId28" Type="http://schemas.openxmlformats.org/officeDocument/2006/relationships/hyperlink" Target="https://finance.yahoo.com/quote/TMF" TargetMode="External"/><Relationship Id="rId36" Type="http://schemas.openxmlformats.org/officeDocument/2006/relationships/hyperlink" Target="https://finance.yahoo.com/quote/FITE" TargetMode="External"/><Relationship Id="rId49" Type="http://schemas.openxmlformats.org/officeDocument/2006/relationships/hyperlink" Target="https://finance.yahoo.com/quote/IDRV" TargetMode="External"/><Relationship Id="rId57" Type="http://schemas.openxmlformats.org/officeDocument/2006/relationships/hyperlink" Target="https://finance.yahoo.com/quote/GAA" TargetMode="External"/><Relationship Id="rId10" Type="http://schemas.openxmlformats.org/officeDocument/2006/relationships/hyperlink" Target="https://finance.yahoo.com/quote/TLT" TargetMode="External"/><Relationship Id="rId31" Type="http://schemas.openxmlformats.org/officeDocument/2006/relationships/hyperlink" Target="https://finance.yahoo.com/quote/UDN" TargetMode="External"/><Relationship Id="rId44" Type="http://schemas.openxmlformats.org/officeDocument/2006/relationships/hyperlink" Target="https://finance.yahoo.com/quote/FAN" TargetMode="External"/><Relationship Id="rId52" Type="http://schemas.openxmlformats.org/officeDocument/2006/relationships/hyperlink" Target="https://finance.yahoo.com/quote/XAR" TargetMode="External"/><Relationship Id="rId60" Type="http://schemas.openxmlformats.org/officeDocument/2006/relationships/hyperlink" Target="https://finance.yahoo.com/quote/OOQB" TargetMode="External"/><Relationship Id="rId4" Type="http://schemas.openxmlformats.org/officeDocument/2006/relationships/hyperlink" Target="https://finance.yahoo.com/quote/IWM" TargetMode="External"/><Relationship Id="rId9" Type="http://schemas.openxmlformats.org/officeDocument/2006/relationships/hyperlink" Target="https://finance.yahoo.com/quote/VW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C2DC5-A1B7-C344-8228-42A53FB3EFAE}">
  <dimension ref="A1:P185"/>
  <sheetViews>
    <sheetView tabSelected="1" workbookViewId="0">
      <selection activeCell="D31" sqref="D31"/>
    </sheetView>
  </sheetViews>
  <sheetFormatPr baseColWidth="10" defaultColWidth="8.83203125" defaultRowHeight="15"/>
  <cols>
    <col min="1" max="1" width="30.33203125" style="4" customWidth="1"/>
    <col min="2" max="2" width="19" style="4" customWidth="1"/>
    <col min="3" max="3" width="29.1640625" style="5" customWidth="1"/>
    <col min="4" max="4" width="51.6640625" style="5" customWidth="1"/>
    <col min="5" max="6" width="10.1640625" style="5" customWidth="1"/>
    <col min="7" max="7" width="12.1640625" style="5" customWidth="1"/>
    <col min="8" max="8" width="35.1640625" style="5" customWidth="1"/>
    <col min="9" max="9" width="32.33203125" style="5" customWidth="1"/>
    <col min="10" max="10" width="8.83203125" style="5"/>
    <col min="11" max="11" width="31" style="5" customWidth="1"/>
    <col min="12" max="12" width="26" style="5" customWidth="1"/>
    <col min="13" max="14" width="8.83203125" style="5"/>
    <col min="15" max="15" width="15" style="5" customWidth="1"/>
    <col min="16" max="16384" width="8.83203125" style="5"/>
  </cols>
  <sheetData>
    <row r="1" spans="1:16" s="3" customFormat="1" ht="14" customHeight="1" thickBot="1">
      <c r="A1" s="2" t="s">
        <v>0</v>
      </c>
      <c r="B1" s="2" t="s">
        <v>1</v>
      </c>
      <c r="C1" s="3" t="s">
        <v>188</v>
      </c>
      <c r="D1" s="3" t="s">
        <v>58</v>
      </c>
      <c r="E1" s="3" t="s">
        <v>193</v>
      </c>
      <c r="F1" s="3" t="s">
        <v>194</v>
      </c>
      <c r="G1" s="3" t="s">
        <v>195</v>
      </c>
      <c r="H1" s="3" t="s">
        <v>196</v>
      </c>
      <c r="I1" s="3" t="s">
        <v>189</v>
      </c>
    </row>
    <row r="2" spans="1:16" ht="14" customHeight="1">
      <c r="A2" s="4" t="str">
        <f t="shared" ref="A2:A65" si="0">C2&amp;"-"&amp;B2</f>
        <v>NewEconomies-KOMP</v>
      </c>
      <c r="B2" s="4" t="s">
        <v>19</v>
      </c>
      <c r="C2" s="5" t="s">
        <v>23</v>
      </c>
      <c r="D2" s="5" t="s">
        <v>197</v>
      </c>
      <c r="E2" s="5" t="s">
        <v>198</v>
      </c>
      <c r="F2" s="6">
        <v>2E-3</v>
      </c>
      <c r="G2" s="7">
        <v>43396</v>
      </c>
      <c r="H2" s="8" t="s">
        <v>199</v>
      </c>
      <c r="I2" s="5" t="s">
        <v>200</v>
      </c>
    </row>
    <row r="3" spans="1:16" ht="14" customHeight="1">
      <c r="A3" s="4" t="str">
        <f t="shared" si="0"/>
        <v>FutureSecurity-FITE</v>
      </c>
      <c r="B3" s="4" t="s">
        <v>20</v>
      </c>
      <c r="C3" s="5" t="s">
        <v>24</v>
      </c>
      <c r="D3" s="5" t="s">
        <v>201</v>
      </c>
      <c r="E3" s="5" t="s">
        <v>202</v>
      </c>
      <c r="F3" s="6">
        <v>4.4999999999999997E-3</v>
      </c>
      <c r="G3" s="7">
        <v>43096</v>
      </c>
      <c r="H3" s="8" t="s">
        <v>203</v>
      </c>
      <c r="I3" s="5" t="s">
        <v>200</v>
      </c>
      <c r="J3" s="9" t="s">
        <v>428</v>
      </c>
      <c r="K3" s="9" t="s">
        <v>429</v>
      </c>
      <c r="L3" s="9" t="s">
        <v>430</v>
      </c>
      <c r="M3" s="9" t="s">
        <v>431</v>
      </c>
      <c r="N3" s="9" t="s">
        <v>432</v>
      </c>
      <c r="O3" s="9" t="s">
        <v>433</v>
      </c>
      <c r="P3" s="9" t="s">
        <v>434</v>
      </c>
    </row>
    <row r="4" spans="1:16" ht="14" customHeight="1">
      <c r="A4" s="4" t="str">
        <f t="shared" si="0"/>
        <v>CybersecurityTech-IHAK</v>
      </c>
      <c r="B4" s="19" t="s">
        <v>2</v>
      </c>
      <c r="C4" s="5" t="s">
        <v>25</v>
      </c>
      <c r="D4" s="5" t="s">
        <v>204</v>
      </c>
      <c r="E4" s="5" t="s">
        <v>205</v>
      </c>
      <c r="F4" s="6">
        <v>4.7000000000000002E-3</v>
      </c>
      <c r="G4" s="7">
        <v>43629</v>
      </c>
      <c r="H4" s="8" t="s">
        <v>206</v>
      </c>
      <c r="I4" s="5" t="s">
        <v>200</v>
      </c>
    </row>
    <row r="5" spans="1:16" ht="14" customHeight="1">
      <c r="A5" s="4" t="str">
        <f t="shared" si="0"/>
        <v>DefianceQuantum-QTUM</v>
      </c>
      <c r="B5" s="19" t="s">
        <v>12</v>
      </c>
      <c r="C5" s="5" t="s">
        <v>21</v>
      </c>
      <c r="D5" s="5" t="s">
        <v>207</v>
      </c>
      <c r="E5" s="5" t="s">
        <v>208</v>
      </c>
      <c r="F5" s="6">
        <v>4.0000000000000001E-3</v>
      </c>
      <c r="G5" s="7">
        <v>45517</v>
      </c>
      <c r="H5" s="8" t="s">
        <v>209</v>
      </c>
      <c r="I5" s="5" t="s">
        <v>200</v>
      </c>
    </row>
    <row r="6" spans="1:16" ht="14" customHeight="1">
      <c r="A6" s="4" t="str">
        <f t="shared" si="0"/>
        <v>FutureAITech-ARTY</v>
      </c>
      <c r="B6" s="19" t="s">
        <v>8</v>
      </c>
      <c r="C6" s="5" t="s">
        <v>26</v>
      </c>
      <c r="D6" s="5" t="s">
        <v>210</v>
      </c>
      <c r="E6" s="5" t="s">
        <v>211</v>
      </c>
      <c r="F6" s="6">
        <v>4.7000000000000002E-3</v>
      </c>
      <c r="G6" s="7">
        <v>43279</v>
      </c>
      <c r="H6" s="8" t="s">
        <v>212</v>
      </c>
      <c r="I6" s="5" t="s">
        <v>200</v>
      </c>
    </row>
    <row r="7" spans="1:16" ht="14" customHeight="1">
      <c r="A7" s="4" t="str">
        <f t="shared" si="0"/>
        <v>BlockchainTech-IBLC</v>
      </c>
      <c r="B7" s="20" t="s">
        <v>10</v>
      </c>
      <c r="C7" s="5" t="s">
        <v>27</v>
      </c>
      <c r="D7" s="5" t="s">
        <v>213</v>
      </c>
      <c r="E7" s="5" t="s">
        <v>214</v>
      </c>
      <c r="F7" s="6">
        <v>4.7000000000000002E-3</v>
      </c>
      <c r="G7" s="7">
        <v>44678</v>
      </c>
      <c r="H7" s="8" t="s">
        <v>215</v>
      </c>
      <c r="I7" s="5" t="s">
        <v>200</v>
      </c>
    </row>
    <row r="8" spans="1:16" ht="14" customHeight="1">
      <c r="A8" s="4" t="str">
        <f t="shared" si="0"/>
        <v>EnergyStorageMaterials-IBAT</v>
      </c>
      <c r="B8" s="21" t="s">
        <v>3</v>
      </c>
      <c r="C8" s="5" t="s">
        <v>28</v>
      </c>
      <c r="D8" s="5" t="s">
        <v>216</v>
      </c>
      <c r="E8" s="5" t="s">
        <v>217</v>
      </c>
      <c r="F8" s="6">
        <v>4.7000000000000002E-3</v>
      </c>
      <c r="G8" s="7">
        <v>45372</v>
      </c>
      <c r="H8" s="8" t="s">
        <v>218</v>
      </c>
      <c r="I8" s="5" t="s">
        <v>200</v>
      </c>
    </row>
    <row r="9" spans="1:16" ht="14" customHeight="1">
      <c r="A9" s="4" t="str">
        <f t="shared" si="0"/>
        <v>UraniumNuclear-NLR</v>
      </c>
      <c r="B9" s="21" t="s">
        <v>11</v>
      </c>
      <c r="C9" s="5" t="s">
        <v>37</v>
      </c>
      <c r="D9" s="5" t="s">
        <v>219</v>
      </c>
      <c r="E9" s="5" t="s">
        <v>220</v>
      </c>
      <c r="F9" s="6">
        <v>5.5999999999999999E-3</v>
      </c>
      <c r="G9" s="7">
        <v>39773</v>
      </c>
      <c r="H9" s="8" t="s">
        <v>221</v>
      </c>
      <c r="I9" s="5" t="s">
        <v>200</v>
      </c>
    </row>
    <row r="10" spans="1:16" ht="14" customHeight="1">
      <c r="A10" s="4" t="str">
        <f t="shared" si="0"/>
        <v>Solar-TAN</v>
      </c>
      <c r="B10" s="21" t="s">
        <v>16</v>
      </c>
      <c r="C10" s="5" t="s">
        <v>39</v>
      </c>
      <c r="D10" s="5" t="s">
        <v>222</v>
      </c>
      <c r="E10" s="5" t="s">
        <v>223</v>
      </c>
      <c r="F10" s="6">
        <v>7.0000000000000001E-3</v>
      </c>
      <c r="G10" s="7">
        <v>43196</v>
      </c>
      <c r="H10" s="8" t="s">
        <v>224</v>
      </c>
      <c r="I10" s="5" t="s">
        <v>200</v>
      </c>
    </row>
    <row r="11" spans="1:16" ht="14" customHeight="1">
      <c r="A11" s="4" t="str">
        <f t="shared" si="0"/>
        <v>GlobalWindEnergy-FAN</v>
      </c>
      <c r="B11" s="21" t="s">
        <v>17</v>
      </c>
      <c r="C11" s="5" t="s">
        <v>38</v>
      </c>
      <c r="D11" s="5" t="s">
        <v>225</v>
      </c>
      <c r="E11" s="5" t="s">
        <v>226</v>
      </c>
      <c r="F11" s="6">
        <v>6.0000000000000001E-3</v>
      </c>
      <c r="G11" s="7">
        <v>39617</v>
      </c>
      <c r="H11" s="8" t="s">
        <v>227</v>
      </c>
      <c r="I11" s="5" t="s">
        <v>200</v>
      </c>
    </row>
    <row r="12" spans="1:16" ht="14" customHeight="1">
      <c r="A12" s="4" t="str">
        <f>C12&amp;"-"&amp;B12</f>
        <v>Hydrogen-HYDR</v>
      </c>
      <c r="B12" s="21" t="s">
        <v>18</v>
      </c>
      <c r="C12" s="5" t="s">
        <v>34</v>
      </c>
      <c r="D12" s="5" t="s">
        <v>231</v>
      </c>
      <c r="E12" s="5" t="s">
        <v>232</v>
      </c>
      <c r="F12" s="6">
        <v>5.0000000000000001E-3</v>
      </c>
      <c r="G12" s="7">
        <v>44391</v>
      </c>
      <c r="H12" s="8" t="s">
        <v>233</v>
      </c>
      <c r="I12" s="5" t="s">
        <v>200</v>
      </c>
    </row>
    <row r="13" spans="1:16" ht="14" customHeight="1">
      <c r="A13" s="4" t="str">
        <f t="shared" si="0"/>
        <v>CopperMetalsMining-ICOP</v>
      </c>
      <c r="B13" s="4" t="s">
        <v>9</v>
      </c>
      <c r="C13" s="5" t="s">
        <v>29</v>
      </c>
      <c r="D13" s="5" t="s">
        <v>228</v>
      </c>
      <c r="E13" s="5" t="s">
        <v>229</v>
      </c>
      <c r="F13" s="6">
        <v>4.7000000000000002E-3</v>
      </c>
      <c r="G13" s="7">
        <v>45100</v>
      </c>
      <c r="H13" s="8" t="s">
        <v>230</v>
      </c>
      <c r="I13" s="5" t="s">
        <v>200</v>
      </c>
    </row>
    <row r="14" spans="1:16" ht="14" customHeight="1">
      <c r="A14" s="4" t="str">
        <f>C14&amp;"-"&amp;B14</f>
        <v>NeuroscienceHealthcare-IBRN</v>
      </c>
      <c r="B14" s="4" t="s">
        <v>5</v>
      </c>
      <c r="C14" s="5" t="s">
        <v>31</v>
      </c>
      <c r="D14" s="5" t="s">
        <v>237</v>
      </c>
      <c r="E14" s="5" t="s">
        <v>238</v>
      </c>
      <c r="F14" s="6">
        <v>4.7000000000000002E-3</v>
      </c>
      <c r="G14" s="7">
        <v>44799</v>
      </c>
      <c r="H14" s="8" t="s">
        <v>239</v>
      </c>
      <c r="I14" s="5" t="s">
        <v>200</v>
      </c>
    </row>
    <row r="15" spans="1:16" ht="14" customHeight="1">
      <c r="A15" s="4" t="str">
        <f t="shared" si="0"/>
        <v>ExponentialTech-XT</v>
      </c>
      <c r="B15" s="4" t="s">
        <v>4</v>
      </c>
      <c r="C15" s="5" t="s">
        <v>30</v>
      </c>
      <c r="D15" s="5" t="s">
        <v>234</v>
      </c>
      <c r="E15" s="5" t="s">
        <v>235</v>
      </c>
      <c r="F15" s="6">
        <v>4.5999999999999999E-3</v>
      </c>
      <c r="G15" s="7">
        <v>42949</v>
      </c>
      <c r="H15" s="8" t="s">
        <v>236</v>
      </c>
      <c r="I15" s="5" t="s">
        <v>200</v>
      </c>
    </row>
    <row r="16" spans="1:16" ht="14" customHeight="1">
      <c r="A16" s="4" t="str">
        <f t="shared" si="0"/>
        <v>SelfDrivingEVTech-IDRV</v>
      </c>
      <c r="B16" s="4" t="s">
        <v>6</v>
      </c>
      <c r="C16" s="5" t="s">
        <v>32</v>
      </c>
      <c r="D16" s="5" t="s">
        <v>240</v>
      </c>
      <c r="E16" s="5" t="s">
        <v>241</v>
      </c>
      <c r="F16" s="6">
        <v>4.7999999999999996E-3</v>
      </c>
      <c r="G16" s="7">
        <v>43573</v>
      </c>
      <c r="H16" s="8" t="s">
        <v>242</v>
      </c>
      <c r="I16" s="5" t="s">
        <v>200</v>
      </c>
    </row>
    <row r="17" spans="1:9" ht="14" customHeight="1">
      <c r="A17" s="4" t="str">
        <f t="shared" si="0"/>
        <v>GlobalCleanEnergy-ICLN</v>
      </c>
      <c r="B17" s="4" t="s">
        <v>7</v>
      </c>
      <c r="C17" s="5" t="s">
        <v>33</v>
      </c>
      <c r="D17" s="5" t="s">
        <v>243</v>
      </c>
      <c r="E17" s="5" t="s">
        <v>211</v>
      </c>
      <c r="F17" s="6">
        <v>3.8999999999999998E-3</v>
      </c>
      <c r="G17" s="7">
        <v>39624</v>
      </c>
      <c r="H17" s="8" t="s">
        <v>244</v>
      </c>
      <c r="I17" s="5" t="s">
        <v>200</v>
      </c>
    </row>
    <row r="18" spans="1:9" ht="14" customHeight="1">
      <c r="A18" s="4" t="str">
        <f t="shared" si="0"/>
        <v>AgTechFoodInno-KROP</v>
      </c>
      <c r="B18" s="4" t="s">
        <v>13</v>
      </c>
      <c r="C18" s="5" t="s">
        <v>35</v>
      </c>
      <c r="D18" s="5" t="s">
        <v>245</v>
      </c>
      <c r="E18" s="5" t="s">
        <v>246</v>
      </c>
      <c r="F18" s="6">
        <v>5.0000000000000001E-3</v>
      </c>
      <c r="G18" s="7">
        <v>44391</v>
      </c>
      <c r="H18" s="8" t="s">
        <v>247</v>
      </c>
      <c r="I18" s="5" t="s">
        <v>200</v>
      </c>
    </row>
    <row r="19" spans="1:9" ht="14" customHeight="1">
      <c r="A19" s="4" t="str">
        <f t="shared" si="0"/>
        <v>AerospaceDefense-XAR</v>
      </c>
      <c r="B19" s="4" t="s">
        <v>14</v>
      </c>
      <c r="C19" s="5" t="s">
        <v>22</v>
      </c>
      <c r="D19" s="5" t="s">
        <v>248</v>
      </c>
      <c r="E19" s="5" t="s">
        <v>249</v>
      </c>
      <c r="F19" s="6">
        <v>3.5000000000000001E-3</v>
      </c>
      <c r="G19" s="7">
        <v>40815</v>
      </c>
      <c r="H19" s="8" t="s">
        <v>250</v>
      </c>
      <c r="I19" s="5" t="s">
        <v>200</v>
      </c>
    </row>
    <row r="20" spans="1:9" ht="14" customHeight="1">
      <c r="A20" s="4" t="str">
        <f t="shared" si="0"/>
        <v>DefenseTech-SHLD</v>
      </c>
      <c r="B20" s="4" t="s">
        <v>15</v>
      </c>
      <c r="C20" s="5" t="s">
        <v>36</v>
      </c>
      <c r="D20" s="5" t="s">
        <v>251</v>
      </c>
      <c r="E20" s="5" t="s">
        <v>252</v>
      </c>
      <c r="F20" s="6">
        <v>5.0000000000000001E-3</v>
      </c>
      <c r="G20" s="7">
        <v>45182</v>
      </c>
      <c r="H20" s="8" t="s">
        <v>253</v>
      </c>
      <c r="I20" s="5" t="s">
        <v>200</v>
      </c>
    </row>
    <row r="21" spans="1:9" ht="14" customHeight="1">
      <c r="A21" s="4" t="str">
        <f t="shared" si="0"/>
        <v>iSharesAerospaceDefenseETF-ITA</v>
      </c>
      <c r="B21" s="22" t="s">
        <v>534</v>
      </c>
      <c r="C21" s="5" t="s">
        <v>535</v>
      </c>
      <c r="F21" s="6"/>
      <c r="G21" s="7"/>
      <c r="H21" s="8"/>
    </row>
    <row r="22" spans="1:9" ht="14" customHeight="1">
      <c r="A22" s="4" t="str">
        <f t="shared" si="0"/>
        <v>SPDRAerospaceDefenseETF-XAR</v>
      </c>
      <c r="B22" s="4" t="s">
        <v>14</v>
      </c>
      <c r="C22" s="5" t="s">
        <v>536</v>
      </c>
      <c r="F22" s="6"/>
      <c r="G22" s="7"/>
      <c r="H22" s="8"/>
    </row>
    <row r="23" spans="1:9" ht="14" customHeight="1">
      <c r="A23" s="4" t="str">
        <f t="shared" si="0"/>
        <v>ARKSpaceETF-ARKX</v>
      </c>
      <c r="B23" s="4" t="s">
        <v>537</v>
      </c>
      <c r="C23" s="5" t="s">
        <v>538</v>
      </c>
      <c r="F23" s="6"/>
      <c r="G23" s="7"/>
      <c r="H23" s="8"/>
    </row>
    <row r="24" spans="1:9" ht="14" customHeight="1">
      <c r="A24" s="4" t="str">
        <f t="shared" si="0"/>
        <v>ProcureSpaceETF-UFO</v>
      </c>
      <c r="B24" s="4" t="s">
        <v>539</v>
      </c>
      <c r="C24" s="5" t="s">
        <v>540</v>
      </c>
      <c r="F24" s="6"/>
      <c r="G24" s="7"/>
      <c r="H24" s="8"/>
    </row>
    <row r="25" spans="1:9" s="11" customFormat="1" ht="14" customHeight="1">
      <c r="A25" s="10" t="str">
        <f t="shared" si="0"/>
        <v>KenshoFinalFrontiersETF-ROKT</v>
      </c>
      <c r="B25" s="23" t="s">
        <v>541</v>
      </c>
      <c r="C25" s="11" t="s">
        <v>542</v>
      </c>
      <c r="F25" s="12"/>
      <c r="G25" s="13"/>
      <c r="H25" s="14"/>
    </row>
    <row r="26" spans="1:9" ht="14" customHeight="1">
      <c r="A26" s="4" t="str">
        <f t="shared" si="0"/>
        <v>Robinhood-HOOD</v>
      </c>
      <c r="B26" s="4" t="s">
        <v>40</v>
      </c>
      <c r="C26" s="5" t="s">
        <v>41</v>
      </c>
      <c r="I26" s="5" t="s">
        <v>254</v>
      </c>
    </row>
    <row r="27" spans="1:9" ht="14" customHeight="1">
      <c r="A27" s="4" t="str">
        <f t="shared" si="0"/>
        <v>2XRobinhoodETF-HOOG</v>
      </c>
      <c r="B27" s="4" t="s">
        <v>475</v>
      </c>
      <c r="C27" s="5" t="s">
        <v>476</v>
      </c>
    </row>
    <row r="28" spans="1:9" ht="14" customHeight="1">
      <c r="A28" s="4" t="str">
        <f t="shared" si="0"/>
        <v>Block-XYZ</v>
      </c>
      <c r="B28" s="4" t="s">
        <v>191</v>
      </c>
      <c r="C28" s="5" t="s">
        <v>192</v>
      </c>
      <c r="I28" s="5" t="s">
        <v>254</v>
      </c>
    </row>
    <row r="29" spans="1:9" ht="14" customHeight="1">
      <c r="A29" s="4" t="str">
        <f t="shared" si="0"/>
        <v>2XBlockETF-XYZG</v>
      </c>
      <c r="B29" s="4" t="s">
        <v>477</v>
      </c>
      <c r="C29" s="5" t="s">
        <v>478</v>
      </c>
    </row>
    <row r="30" spans="1:9" ht="14" customHeight="1">
      <c r="A30" s="4" t="str">
        <f t="shared" si="0"/>
        <v>Coinbase-COIN</v>
      </c>
      <c r="B30" s="4" t="s">
        <v>43</v>
      </c>
      <c r="C30" s="5" t="s">
        <v>44</v>
      </c>
      <c r="I30" s="5" t="s">
        <v>254</v>
      </c>
    </row>
    <row r="31" spans="1:9" ht="14" customHeight="1">
      <c r="A31" s="4" t="str">
        <f t="shared" si="0"/>
        <v>2XCoinbaseETF-CONL</v>
      </c>
      <c r="B31" s="4" t="s">
        <v>479</v>
      </c>
      <c r="C31" s="5" t="s">
        <v>480</v>
      </c>
    </row>
    <row r="32" spans="1:9" ht="14" customHeight="1">
      <c r="A32" s="4" t="str">
        <f t="shared" si="0"/>
        <v>Nike-NKE</v>
      </c>
      <c r="B32" s="4" t="s">
        <v>61</v>
      </c>
      <c r="C32" s="5" t="s">
        <v>42</v>
      </c>
      <c r="I32" s="5" t="s">
        <v>254</v>
      </c>
    </row>
    <row r="33" spans="1:9" ht="14" customHeight="1">
      <c r="A33" s="4" t="str">
        <f t="shared" si="0"/>
        <v>McDonalds-MCD</v>
      </c>
      <c r="B33" s="4" t="s">
        <v>59</v>
      </c>
      <c r="C33" s="5" t="s">
        <v>60</v>
      </c>
      <c r="I33" s="5" t="s">
        <v>254</v>
      </c>
    </row>
    <row r="34" spans="1:9" ht="14" customHeight="1">
      <c r="A34" s="4" t="str">
        <f t="shared" si="0"/>
        <v>CircleInternet-CRCL</v>
      </c>
      <c r="B34" s="4" t="s">
        <v>45</v>
      </c>
      <c r="C34" s="5" t="s">
        <v>46</v>
      </c>
      <c r="I34" s="5" t="s">
        <v>254</v>
      </c>
    </row>
    <row r="35" spans="1:9" ht="14" customHeight="1">
      <c r="A35" s="4" t="str">
        <f t="shared" si="0"/>
        <v>2XCircleInternetETF-CRCA</v>
      </c>
      <c r="B35" s="4" t="s">
        <v>481</v>
      </c>
      <c r="C35" s="5" t="s">
        <v>482</v>
      </c>
    </row>
    <row r="36" spans="1:9" ht="14" customHeight="1">
      <c r="A36" s="4" t="str">
        <f t="shared" si="0"/>
        <v>PayPal-PYPL</v>
      </c>
      <c r="B36" s="4" t="s">
        <v>571</v>
      </c>
      <c r="C36" s="5" t="s">
        <v>572</v>
      </c>
    </row>
    <row r="37" spans="1:9" ht="14" customHeight="1">
      <c r="A37" s="4" t="str">
        <f t="shared" si="0"/>
        <v>InteractiveBrokers-IBKR</v>
      </c>
      <c r="B37" s="4" t="s">
        <v>47</v>
      </c>
      <c r="C37" s="5" t="s">
        <v>48</v>
      </c>
      <c r="I37" s="5" t="s">
        <v>254</v>
      </c>
    </row>
    <row r="38" spans="1:9" ht="14" customHeight="1">
      <c r="A38" s="4" t="str">
        <f t="shared" si="0"/>
        <v>Lululemon-LULU</v>
      </c>
      <c r="B38" s="4" t="s">
        <v>49</v>
      </c>
      <c r="C38" s="5" t="s">
        <v>50</v>
      </c>
      <c r="I38" s="5" t="s">
        <v>254</v>
      </c>
    </row>
    <row r="39" spans="1:9" ht="14" customHeight="1">
      <c r="A39" s="4" t="str">
        <f t="shared" si="0"/>
        <v>2XLululemonETF-LULG</v>
      </c>
      <c r="B39" s="4" t="s">
        <v>483</v>
      </c>
      <c r="C39" s="5" t="s">
        <v>484</v>
      </c>
    </row>
    <row r="40" spans="1:9" ht="14" customHeight="1">
      <c r="A40" s="4" t="str">
        <f t="shared" si="0"/>
        <v>Pingduoduo-PDD</v>
      </c>
      <c r="B40" s="4" t="s">
        <v>51</v>
      </c>
      <c r="C40" s="5" t="s">
        <v>52</v>
      </c>
      <c r="I40" s="5" t="s">
        <v>254</v>
      </c>
    </row>
    <row r="41" spans="1:9" ht="14" customHeight="1">
      <c r="A41" s="4" t="str">
        <f t="shared" si="0"/>
        <v>2XPingduoduoETF-PDDL</v>
      </c>
      <c r="B41" s="4" t="s">
        <v>485</v>
      </c>
      <c r="C41" s="5" t="s">
        <v>486</v>
      </c>
    </row>
    <row r="42" spans="1:9" ht="14" customHeight="1">
      <c r="A42" s="4" t="str">
        <f t="shared" si="0"/>
        <v>Xiaomi-1810.HK</v>
      </c>
      <c r="B42" s="4" t="s">
        <v>53</v>
      </c>
      <c r="C42" s="5" t="s">
        <v>54</v>
      </c>
      <c r="I42" s="5" t="s">
        <v>254</v>
      </c>
    </row>
    <row r="43" spans="1:9" ht="14" customHeight="1">
      <c r="A43" s="4" t="str">
        <f t="shared" si="0"/>
        <v>Google-GOOGL</v>
      </c>
      <c r="B43" s="4" t="s">
        <v>64</v>
      </c>
      <c r="C43" s="5" t="s">
        <v>62</v>
      </c>
      <c r="I43" s="5" t="s">
        <v>254</v>
      </c>
    </row>
    <row r="44" spans="1:9" ht="14" customHeight="1">
      <c r="A44" s="4" t="str">
        <f t="shared" si="0"/>
        <v>2XGoogleETF-GGLL</v>
      </c>
      <c r="B44" s="4" t="s">
        <v>509</v>
      </c>
      <c r="C44" s="5" t="s">
        <v>510</v>
      </c>
    </row>
    <row r="45" spans="1:9" ht="14" customHeight="1">
      <c r="A45" s="4" t="str">
        <f t="shared" si="0"/>
        <v>TSM-TSM</v>
      </c>
      <c r="B45" s="4" t="s">
        <v>511</v>
      </c>
      <c r="C45" s="5" t="s">
        <v>511</v>
      </c>
    </row>
    <row r="46" spans="1:9" ht="14" customHeight="1">
      <c r="A46" s="4" t="str">
        <f t="shared" si="0"/>
        <v>2XTSMETF-TSMX</v>
      </c>
      <c r="B46" s="4" t="s">
        <v>512</v>
      </c>
      <c r="C46" s="5" t="s">
        <v>513</v>
      </c>
    </row>
    <row r="47" spans="1:9" ht="14" customHeight="1">
      <c r="A47" s="4" t="str">
        <f t="shared" si="0"/>
        <v>Nvdia-NVDA</v>
      </c>
      <c r="B47" s="4" t="s">
        <v>65</v>
      </c>
      <c r="C47" s="5" t="s">
        <v>63</v>
      </c>
      <c r="I47" s="5" t="s">
        <v>254</v>
      </c>
    </row>
    <row r="48" spans="1:9" ht="14" customHeight="1">
      <c r="A48" s="4" t="str">
        <f t="shared" si="0"/>
        <v>2XNvdiaETF-NVDL</v>
      </c>
      <c r="B48" s="4" t="s">
        <v>514</v>
      </c>
      <c r="C48" s="5" t="s">
        <v>515</v>
      </c>
    </row>
    <row r="49" spans="1:9" ht="14" customHeight="1">
      <c r="A49" s="4" t="str">
        <f t="shared" si="0"/>
        <v>Apple-AAPL</v>
      </c>
      <c r="B49" s="4" t="s">
        <v>67</v>
      </c>
      <c r="C49" s="5" t="s">
        <v>66</v>
      </c>
      <c r="I49" s="5" t="s">
        <v>254</v>
      </c>
    </row>
    <row r="50" spans="1:9" ht="14" customHeight="1">
      <c r="A50" s="4" t="str">
        <f t="shared" si="0"/>
        <v>Tesla-TSLA</v>
      </c>
      <c r="B50" s="4" t="s">
        <v>55</v>
      </c>
      <c r="C50" s="5" t="s">
        <v>56</v>
      </c>
      <c r="I50" s="5" t="s">
        <v>254</v>
      </c>
    </row>
    <row r="51" spans="1:9" ht="14" customHeight="1">
      <c r="A51" s="4" t="str">
        <f t="shared" si="0"/>
        <v>2XTeslaETF-TSLL</v>
      </c>
      <c r="B51" s="4" t="s">
        <v>516</v>
      </c>
      <c r="C51" s="5" t="s">
        <v>517</v>
      </c>
    </row>
    <row r="52" spans="1:9" ht="14" customHeight="1">
      <c r="A52" s="4" t="str">
        <f t="shared" si="0"/>
        <v>Strategy-MSTR</v>
      </c>
      <c r="B52" s="4" t="s">
        <v>57</v>
      </c>
      <c r="C52" s="5" t="s">
        <v>58</v>
      </c>
      <c r="I52" s="5" t="s">
        <v>254</v>
      </c>
    </row>
    <row r="53" spans="1:9" ht="14" customHeight="1">
      <c r="A53" s="4" t="str">
        <f t="shared" si="0"/>
        <v>2XStrategyETF-MSTU</v>
      </c>
      <c r="B53" s="4" t="s">
        <v>518</v>
      </c>
      <c r="C53" s="5" t="s">
        <v>519</v>
      </c>
    </row>
    <row r="54" spans="1:9" ht="14" customHeight="1">
      <c r="A54" s="4" t="str">
        <f t="shared" si="0"/>
        <v>Palantir-PLTR</v>
      </c>
      <c r="B54" s="4" t="s">
        <v>68</v>
      </c>
      <c r="C54" s="5" t="s">
        <v>69</v>
      </c>
      <c r="I54" s="5" t="s">
        <v>254</v>
      </c>
    </row>
    <row r="55" spans="1:9" s="11" customFormat="1" ht="14" customHeight="1">
      <c r="A55" s="10" t="str">
        <f t="shared" si="0"/>
        <v>2XPalantirETF-PTIR</v>
      </c>
      <c r="B55" s="10" t="s">
        <v>520</v>
      </c>
      <c r="C55" s="11" t="s">
        <v>521</v>
      </c>
    </row>
    <row r="56" spans="1:9" ht="14" customHeight="1">
      <c r="A56" s="4" t="str">
        <f t="shared" si="0"/>
        <v>Coindesk20ETF-KRYP</v>
      </c>
      <c r="B56" s="4" t="s">
        <v>522</v>
      </c>
      <c r="C56" s="5" t="s">
        <v>523</v>
      </c>
    </row>
    <row r="57" spans="1:9" ht="14" customHeight="1">
      <c r="A57" s="4" t="str">
        <f t="shared" si="0"/>
        <v>2XBTC-BITU</v>
      </c>
      <c r="B57" s="4" t="s">
        <v>487</v>
      </c>
      <c r="C57" s="5" t="s">
        <v>488</v>
      </c>
    </row>
    <row r="58" spans="1:9" ht="14" customHeight="1">
      <c r="A58" s="4" t="str">
        <f t="shared" si="0"/>
        <v>2XETH-ETHU</v>
      </c>
      <c r="B58" s="4" t="s">
        <v>489</v>
      </c>
      <c r="C58" s="5" t="s">
        <v>490</v>
      </c>
    </row>
    <row r="59" spans="1:9" ht="14" customHeight="1">
      <c r="A59" s="4" t="str">
        <f t="shared" si="0"/>
        <v>2XETH-ETHT</v>
      </c>
      <c r="B59" s="4" t="s">
        <v>524</v>
      </c>
      <c r="C59" s="5" t="s">
        <v>490</v>
      </c>
    </row>
    <row r="60" spans="1:9" ht="14" customHeight="1">
      <c r="A60" s="4" t="str">
        <f t="shared" si="0"/>
        <v>2XSOL-SLON</v>
      </c>
      <c r="B60" s="4" t="s">
        <v>527</v>
      </c>
      <c r="C60" s="5" t="s">
        <v>492</v>
      </c>
    </row>
    <row r="61" spans="1:9" ht="14" customHeight="1">
      <c r="A61" s="4" t="str">
        <f t="shared" si="0"/>
        <v>2XSOL-SOLT</v>
      </c>
      <c r="B61" s="4" t="s">
        <v>491</v>
      </c>
      <c r="C61" s="5" t="s">
        <v>492</v>
      </c>
    </row>
    <row r="62" spans="1:9" s="11" customFormat="1" ht="14" customHeight="1">
      <c r="A62" s="10" t="str">
        <f t="shared" si="0"/>
        <v>2XXRP-UXRP</v>
      </c>
      <c r="B62" s="10" t="s">
        <v>525</v>
      </c>
      <c r="C62" s="11" t="s">
        <v>526</v>
      </c>
    </row>
    <row r="63" spans="1:9" ht="14" customHeight="1">
      <c r="A63" s="4" t="str">
        <f t="shared" si="0"/>
        <v>Gold-GC=F</v>
      </c>
      <c r="B63" s="4" t="s">
        <v>134</v>
      </c>
      <c r="C63" s="5" t="s">
        <v>135</v>
      </c>
      <c r="I63" s="5" t="s">
        <v>255</v>
      </c>
    </row>
    <row r="64" spans="1:9" ht="14" customHeight="1">
      <c r="A64" s="4" t="str">
        <f t="shared" si="0"/>
        <v>GoldETF-GLD</v>
      </c>
      <c r="B64" s="4" t="s">
        <v>554</v>
      </c>
      <c r="C64" s="5" t="s">
        <v>555</v>
      </c>
    </row>
    <row r="65" spans="1:9" ht="14" customHeight="1">
      <c r="A65" s="4" t="str">
        <f t="shared" si="0"/>
        <v>2XGoldETF-UGL</v>
      </c>
      <c r="B65" s="4" t="s">
        <v>556</v>
      </c>
      <c r="C65" s="5" t="s">
        <v>557</v>
      </c>
    </row>
    <row r="66" spans="1:9" ht="14" customHeight="1">
      <c r="A66" s="4" t="str">
        <f t="shared" ref="A66:A100" si="1">C66&amp;"-"&amp;B66</f>
        <v>2XShortGoldETF-GLL</v>
      </c>
      <c r="B66" s="4" t="s">
        <v>558</v>
      </c>
      <c r="C66" s="5" t="s">
        <v>559</v>
      </c>
    </row>
    <row r="67" spans="1:9" ht="14" customHeight="1">
      <c r="A67" s="4" t="str">
        <f t="shared" si="1"/>
        <v>GoldMinersETF-GDX</v>
      </c>
      <c r="B67" s="4" t="s">
        <v>560</v>
      </c>
      <c r="C67" s="5" t="s">
        <v>561</v>
      </c>
    </row>
    <row r="68" spans="1:9" ht="14" customHeight="1">
      <c r="A68" s="4" t="str">
        <f t="shared" si="1"/>
        <v>2XGoldMinersETF-NUGT</v>
      </c>
      <c r="B68" s="4" t="s">
        <v>562</v>
      </c>
      <c r="C68" s="5" t="s">
        <v>563</v>
      </c>
    </row>
    <row r="69" spans="1:9" ht="14" customHeight="1">
      <c r="A69" s="4" t="str">
        <f t="shared" si="1"/>
        <v>Silver-SI=F</v>
      </c>
      <c r="B69" s="4" t="s">
        <v>133</v>
      </c>
      <c r="C69" s="5" t="s">
        <v>136</v>
      </c>
      <c r="I69" s="5" t="s">
        <v>255</v>
      </c>
    </row>
    <row r="70" spans="1:9" ht="14" customHeight="1">
      <c r="A70" s="4" t="str">
        <f t="shared" si="1"/>
        <v>SilverETF-SLV</v>
      </c>
      <c r="B70" s="4" t="s">
        <v>564</v>
      </c>
      <c r="C70" s="5" t="s">
        <v>565</v>
      </c>
    </row>
    <row r="71" spans="1:9" ht="14" customHeight="1">
      <c r="A71" s="4" t="str">
        <f t="shared" si="1"/>
        <v>2XSilverETF-AGQ</v>
      </c>
      <c r="B71" s="4" t="s">
        <v>566</v>
      </c>
      <c r="C71" s="5" t="s">
        <v>567</v>
      </c>
    </row>
    <row r="72" spans="1:9" ht="14" customHeight="1">
      <c r="A72" s="4" t="str">
        <f t="shared" si="1"/>
        <v>2XShortSilverETF-ZSL</v>
      </c>
      <c r="B72" s="4" t="s">
        <v>568</v>
      </c>
      <c r="C72" s="5" t="s">
        <v>569</v>
      </c>
      <c r="I72" s="5" t="s">
        <v>570</v>
      </c>
    </row>
    <row r="73" spans="1:9" ht="14" customHeight="1">
      <c r="A73" s="4" t="str">
        <f t="shared" si="1"/>
        <v>Copper-HG=F</v>
      </c>
      <c r="B73" s="4" t="s">
        <v>139</v>
      </c>
      <c r="C73" s="5" t="s">
        <v>140</v>
      </c>
      <c r="I73" s="5" t="s">
        <v>255</v>
      </c>
    </row>
    <row r="74" spans="1:9" ht="14" customHeight="1">
      <c r="A74" s="4" t="str">
        <f t="shared" si="1"/>
        <v>CrudeWTI-CL=F</v>
      </c>
      <c r="B74" s="4" t="s">
        <v>137</v>
      </c>
      <c r="C74" s="5" t="s">
        <v>138</v>
      </c>
      <c r="I74" s="5" t="s">
        <v>255</v>
      </c>
    </row>
    <row r="75" spans="1:9" ht="14" customHeight="1">
      <c r="A75" s="4" t="str">
        <f t="shared" si="1"/>
        <v>NatGas-NG=F</v>
      </c>
      <c r="B75" s="4" t="s">
        <v>153</v>
      </c>
      <c r="C75" s="5" t="s">
        <v>154</v>
      </c>
      <c r="I75" s="5" t="s">
        <v>255</v>
      </c>
    </row>
    <row r="76" spans="1:9" ht="14" customHeight="1">
      <c r="A76" s="4" t="str">
        <f t="shared" si="1"/>
        <v>CattleLive-LE=F</v>
      </c>
      <c r="B76" s="4" t="s">
        <v>141</v>
      </c>
      <c r="C76" s="5" t="s">
        <v>143</v>
      </c>
      <c r="I76" s="5" t="s">
        <v>255</v>
      </c>
    </row>
    <row r="77" spans="1:9" ht="14" customHeight="1">
      <c r="A77" s="4" t="str">
        <f t="shared" si="1"/>
        <v>CatterFeed-GF=F</v>
      </c>
      <c r="B77" s="4" t="s">
        <v>142</v>
      </c>
      <c r="C77" s="5" t="s">
        <v>144</v>
      </c>
      <c r="I77" s="5" t="s">
        <v>255</v>
      </c>
    </row>
    <row r="78" spans="1:9" ht="14" customHeight="1">
      <c r="A78" s="4" t="str">
        <f t="shared" si="1"/>
        <v>LeanHogs-HE=F</v>
      </c>
      <c r="B78" s="4" t="s">
        <v>156</v>
      </c>
      <c r="C78" s="5" t="s">
        <v>155</v>
      </c>
      <c r="I78" s="5" t="s">
        <v>255</v>
      </c>
    </row>
    <row r="79" spans="1:9" ht="14" customHeight="1">
      <c r="A79" s="4" t="str">
        <f t="shared" si="1"/>
        <v>Soybean-ZS=F</v>
      </c>
      <c r="B79" s="4" t="s">
        <v>145</v>
      </c>
      <c r="C79" s="5" t="s">
        <v>146</v>
      </c>
      <c r="I79" s="5" t="s">
        <v>255</v>
      </c>
    </row>
    <row r="80" spans="1:9" ht="14" customHeight="1">
      <c r="A80" s="4" t="str">
        <f t="shared" si="1"/>
        <v>SoybeanOi-ZL=F</v>
      </c>
      <c r="B80" s="4" t="s">
        <v>150</v>
      </c>
      <c r="C80" s="5" t="s">
        <v>147</v>
      </c>
      <c r="I80" s="5" t="s">
        <v>255</v>
      </c>
    </row>
    <row r="81" spans="1:9" ht="14" customHeight="1">
      <c r="A81" s="4" t="str">
        <f t="shared" si="1"/>
        <v>SoybeanMeal-ZM=F</v>
      </c>
      <c r="B81" s="4" t="s">
        <v>149</v>
      </c>
      <c r="C81" s="5" t="s">
        <v>148</v>
      </c>
      <c r="I81" s="5" t="s">
        <v>255</v>
      </c>
    </row>
    <row r="82" spans="1:9" ht="14" customHeight="1">
      <c r="A82" s="4" t="str">
        <f t="shared" si="1"/>
        <v>Cotton-CT=F</v>
      </c>
      <c r="B82" s="4" t="s">
        <v>151</v>
      </c>
      <c r="C82" s="5" t="s">
        <v>152</v>
      </c>
      <c r="I82" s="5" t="s">
        <v>255</v>
      </c>
    </row>
    <row r="83" spans="1:9" ht="16" customHeight="1">
      <c r="A83" s="4" t="str">
        <f t="shared" si="1"/>
        <v>UST10Yr-ZN=F</v>
      </c>
      <c r="B83" s="1" t="s">
        <v>181</v>
      </c>
      <c r="C83" s="5" t="s">
        <v>183</v>
      </c>
      <c r="I83" s="5" t="s">
        <v>255</v>
      </c>
    </row>
    <row r="84" spans="1:9" ht="16" customHeight="1">
      <c r="A84" s="4" t="str">
        <f t="shared" si="1"/>
        <v>UST5Yr-ZF=F</v>
      </c>
      <c r="B84" s="4" t="s">
        <v>182</v>
      </c>
      <c r="C84" s="5" t="s">
        <v>184</v>
      </c>
      <c r="I84" s="5" t="s">
        <v>255</v>
      </c>
    </row>
    <row r="85" spans="1:9" ht="16" customHeight="1">
      <c r="A85" s="4" t="str">
        <f t="shared" si="1"/>
        <v>UST2Yr-ZT=F</v>
      </c>
      <c r="B85" s="4" t="s">
        <v>552</v>
      </c>
      <c r="C85" s="5" t="s">
        <v>553</v>
      </c>
      <c r="I85" s="5" t="s">
        <v>255</v>
      </c>
    </row>
    <row r="86" spans="1:9" ht="16" customHeight="1">
      <c r="A86" s="4" t="str">
        <f>C86</f>
        <v>USDJPY</v>
      </c>
      <c r="B86" s="4" t="s">
        <v>166</v>
      </c>
      <c r="C86" s="5" t="s">
        <v>157</v>
      </c>
      <c r="I86" s="5" t="s">
        <v>256</v>
      </c>
    </row>
    <row r="87" spans="1:9" ht="16" customHeight="1">
      <c r="A87" s="4" t="str">
        <f>C87</f>
        <v>USDKRW</v>
      </c>
      <c r="B87" s="4" t="s">
        <v>187</v>
      </c>
      <c r="C87" s="5" t="s">
        <v>186</v>
      </c>
      <c r="I87" s="5" t="s">
        <v>256</v>
      </c>
    </row>
    <row r="88" spans="1:9" ht="16" customHeight="1">
      <c r="A88" s="4" t="str">
        <f t="shared" ref="A88:A101" si="2">C88</f>
        <v>AUDUSD</v>
      </c>
      <c r="B88" s="15" t="s">
        <v>167</v>
      </c>
      <c r="C88" s="16" t="s">
        <v>158</v>
      </c>
      <c r="D88" s="16"/>
      <c r="E88" s="16"/>
      <c r="I88" s="5" t="s">
        <v>256</v>
      </c>
    </row>
    <row r="89" spans="1:9" ht="16" customHeight="1">
      <c r="A89" s="4" t="str">
        <f t="shared" si="2"/>
        <v>NZDUSD</v>
      </c>
      <c r="B89" s="15" t="s">
        <v>168</v>
      </c>
      <c r="C89" s="16" t="s">
        <v>159</v>
      </c>
      <c r="D89" s="16"/>
      <c r="E89" s="16"/>
      <c r="I89" s="5" t="s">
        <v>256</v>
      </c>
    </row>
    <row r="90" spans="1:9" ht="16" customHeight="1">
      <c r="A90" s="4" t="str">
        <f t="shared" si="2"/>
        <v>USDCAD</v>
      </c>
      <c r="B90" s="15" t="s">
        <v>169</v>
      </c>
      <c r="C90" s="16" t="s">
        <v>160</v>
      </c>
      <c r="D90" s="16"/>
      <c r="E90" s="16"/>
      <c r="I90" s="5" t="s">
        <v>256</v>
      </c>
    </row>
    <row r="91" spans="1:9" ht="16" customHeight="1">
      <c r="A91" s="4" t="str">
        <f t="shared" si="2"/>
        <v>USDNOK</v>
      </c>
      <c r="B91" s="15" t="s">
        <v>170</v>
      </c>
      <c r="C91" s="16" t="s">
        <v>161</v>
      </c>
      <c r="D91" s="16"/>
      <c r="E91" s="16"/>
      <c r="I91" s="5" t="s">
        <v>256</v>
      </c>
    </row>
    <row r="92" spans="1:9" ht="16" customHeight="1">
      <c r="A92" s="4" t="str">
        <f t="shared" si="2"/>
        <v>EURUSD</v>
      </c>
      <c r="B92" s="15" t="s">
        <v>171</v>
      </c>
      <c r="C92" s="16" t="s">
        <v>162</v>
      </c>
      <c r="D92" s="16"/>
      <c r="E92" s="16"/>
      <c r="I92" s="5" t="s">
        <v>256</v>
      </c>
    </row>
    <row r="93" spans="1:9" ht="16" customHeight="1">
      <c r="A93" s="4" t="str">
        <f t="shared" si="2"/>
        <v>GBPUSD</v>
      </c>
      <c r="B93" s="15" t="s">
        <v>172</v>
      </c>
      <c r="C93" s="16" t="s">
        <v>163</v>
      </c>
      <c r="D93" s="16"/>
      <c r="E93" s="16"/>
      <c r="I93" s="5" t="s">
        <v>256</v>
      </c>
    </row>
    <row r="94" spans="1:9" ht="16" customHeight="1">
      <c r="A94" s="4" t="str">
        <f t="shared" si="2"/>
        <v>Nikkei225</v>
      </c>
      <c r="B94" s="4" t="s">
        <v>173</v>
      </c>
      <c r="C94" s="5" t="s">
        <v>164</v>
      </c>
      <c r="I94" s="5" t="s">
        <v>257</v>
      </c>
    </row>
    <row r="95" spans="1:9" ht="16" customHeight="1">
      <c r="A95" s="4" t="str">
        <f>C95&amp;"-"&amp;B95</f>
        <v>2XShortNK225-7515.HK</v>
      </c>
      <c r="B95" s="4" t="s">
        <v>528</v>
      </c>
      <c r="C95" s="5" t="s">
        <v>529</v>
      </c>
      <c r="I95" s="5" t="s">
        <v>257</v>
      </c>
    </row>
    <row r="96" spans="1:9" ht="16" customHeight="1">
      <c r="A96" s="4" t="str">
        <f t="shared" si="2"/>
        <v>Nasdaq100</v>
      </c>
      <c r="B96" s="4" t="s">
        <v>174</v>
      </c>
      <c r="C96" s="5" t="s">
        <v>165</v>
      </c>
      <c r="I96" s="5" t="s">
        <v>257</v>
      </c>
    </row>
    <row r="97" spans="1:9" ht="16" customHeight="1">
      <c r="A97" s="4" t="str">
        <f t="shared" si="2"/>
        <v>2XNQ100ETF</v>
      </c>
      <c r="B97" s="4" t="s">
        <v>493</v>
      </c>
      <c r="C97" s="5" t="s">
        <v>494</v>
      </c>
    </row>
    <row r="98" spans="1:9" ht="16" customHeight="1">
      <c r="A98" s="4" t="str">
        <f t="shared" si="2"/>
        <v>3XNQ100ETF</v>
      </c>
      <c r="B98" s="4" t="s">
        <v>495</v>
      </c>
      <c r="C98" s="5" t="s">
        <v>496</v>
      </c>
    </row>
    <row r="99" spans="1:9" ht="16" customHeight="1">
      <c r="A99" s="4" t="str">
        <f>C99</f>
        <v>VixIndex</v>
      </c>
      <c r="B99" s="4" t="s">
        <v>175</v>
      </c>
      <c r="C99" s="5" t="s">
        <v>185</v>
      </c>
      <c r="I99" s="5" t="s">
        <v>257</v>
      </c>
    </row>
    <row r="100" spans="1:9" ht="16" customHeight="1">
      <c r="A100" s="4" t="str">
        <f t="shared" si="2"/>
        <v>HSChinaEnterprise</v>
      </c>
      <c r="B100" s="4" t="s">
        <v>176</v>
      </c>
      <c r="C100" s="5" t="s">
        <v>179</v>
      </c>
      <c r="I100" s="5" t="s">
        <v>257</v>
      </c>
    </row>
    <row r="101" spans="1:9" s="11" customFormat="1" ht="16" customHeight="1">
      <c r="A101" s="10" t="str">
        <f t="shared" si="2"/>
        <v>HangSengIndex</v>
      </c>
      <c r="B101" s="10" t="s">
        <v>177</v>
      </c>
      <c r="C101" s="11" t="s">
        <v>178</v>
      </c>
      <c r="I101" s="11" t="s">
        <v>257</v>
      </c>
    </row>
    <row r="102" spans="1:9" ht="16" customHeight="1">
      <c r="A102" s="4" t="str">
        <f t="shared" ref="A102:A149" si="3">C102&amp;"-"&amp;B102</f>
        <v>CambriaTailRisk-TAIL</v>
      </c>
      <c r="B102" s="4" t="s">
        <v>258</v>
      </c>
      <c r="C102" s="5" t="s">
        <v>259</v>
      </c>
      <c r="D102" s="5" t="s">
        <v>260</v>
      </c>
      <c r="E102" s="5" t="s">
        <v>261</v>
      </c>
      <c r="F102" s="6">
        <v>5.8999999999999999E-3</v>
      </c>
      <c r="G102" s="7">
        <v>42831</v>
      </c>
      <c r="H102" s="8" t="s">
        <v>262</v>
      </c>
      <c r="I102" s="5" t="s">
        <v>263</v>
      </c>
    </row>
    <row r="103" spans="1:9" ht="16" customHeight="1">
      <c r="A103" s="4" t="str">
        <f t="shared" si="3"/>
        <v>VolPremiumPlus-ZVOL</v>
      </c>
      <c r="B103" s="4" t="s">
        <v>435</v>
      </c>
      <c r="C103" s="5" t="s">
        <v>436</v>
      </c>
      <c r="D103" s="5" t="s">
        <v>437</v>
      </c>
      <c r="E103" s="5" t="s">
        <v>438</v>
      </c>
      <c r="F103" s="6">
        <v>1.4500000000000001E-2</v>
      </c>
      <c r="G103" s="7">
        <v>45035</v>
      </c>
      <c r="H103" s="17" t="s">
        <v>439</v>
      </c>
      <c r="I103" s="5" t="s">
        <v>263</v>
      </c>
    </row>
    <row r="104" spans="1:9" ht="16" customHeight="1">
      <c r="A104" s="4" t="str">
        <f t="shared" si="3"/>
        <v>GlobalValue-GVAL</v>
      </c>
      <c r="B104" s="4" t="s">
        <v>440</v>
      </c>
      <c r="C104" s="5" t="s">
        <v>441</v>
      </c>
      <c r="D104" s="5" t="s">
        <v>442</v>
      </c>
      <c r="E104" s="5" t="s">
        <v>443</v>
      </c>
      <c r="F104" s="6">
        <v>6.6E-3</v>
      </c>
      <c r="G104" s="7">
        <v>41709</v>
      </c>
      <c r="H104" s="17" t="s">
        <v>444</v>
      </c>
      <c r="I104" s="5" t="s">
        <v>263</v>
      </c>
    </row>
    <row r="105" spans="1:9" ht="16" customHeight="1">
      <c r="A105" s="4" t="str">
        <f t="shared" si="3"/>
        <v>GlobalMomentum-GMOM</v>
      </c>
      <c r="B105" s="4" t="s">
        <v>445</v>
      </c>
      <c r="C105" s="5" t="s">
        <v>446</v>
      </c>
      <c r="D105" s="5" t="s">
        <v>447</v>
      </c>
      <c r="E105" s="5" t="s">
        <v>448</v>
      </c>
      <c r="F105" s="6">
        <v>1.01E-2</v>
      </c>
      <c r="G105" s="7">
        <v>41946</v>
      </c>
      <c r="H105" s="17" t="s">
        <v>449</v>
      </c>
      <c r="I105" s="5" t="s">
        <v>263</v>
      </c>
    </row>
    <row r="106" spans="1:9" ht="16" customHeight="1">
      <c r="A106" s="4" t="str">
        <f t="shared" si="3"/>
        <v>GlobalAssetAllocation-GAA</v>
      </c>
      <c r="B106" s="4" t="s">
        <v>450</v>
      </c>
      <c r="C106" s="5" t="s">
        <v>451</v>
      </c>
      <c r="D106" s="5" t="s">
        <v>452</v>
      </c>
      <c r="E106" s="5" t="s">
        <v>453</v>
      </c>
      <c r="F106" s="6">
        <v>4.0000000000000001E-3</v>
      </c>
      <c r="G106" s="7">
        <v>41982</v>
      </c>
      <c r="H106" s="17" t="s">
        <v>454</v>
      </c>
      <c r="I106" s="5" t="s">
        <v>263</v>
      </c>
    </row>
    <row r="107" spans="1:9" ht="16" customHeight="1">
      <c r="A107" s="4" t="str">
        <f t="shared" si="3"/>
        <v>FixedIncomeTrend-CFIT</v>
      </c>
      <c r="B107" s="4" t="s">
        <v>455</v>
      </c>
      <c r="C107" s="5" t="s">
        <v>456</v>
      </c>
      <c r="D107" s="5" t="s">
        <v>457</v>
      </c>
      <c r="E107" s="5" t="s">
        <v>458</v>
      </c>
      <c r="F107" s="6">
        <v>5.0000000000000001E-3</v>
      </c>
      <c r="G107" s="7">
        <v>45744</v>
      </c>
      <c r="H107" s="17" t="s">
        <v>459</v>
      </c>
      <c r="I107" s="5" t="s">
        <v>263</v>
      </c>
    </row>
    <row r="108" spans="1:9" ht="16" customHeight="1">
      <c r="A108" s="4" t="str">
        <f t="shared" si="3"/>
        <v>EndowmentStyle-ENDW</v>
      </c>
      <c r="B108" s="4" t="s">
        <v>460</v>
      </c>
      <c r="C108" s="5" t="s">
        <v>461</v>
      </c>
      <c r="D108" s="5" t="s">
        <v>462</v>
      </c>
      <c r="E108" s="5" t="s">
        <v>463</v>
      </c>
      <c r="F108" s="6">
        <v>2.8999999999999998E-3</v>
      </c>
      <c r="G108" s="7">
        <v>45756</v>
      </c>
      <c r="H108" s="17" t="s">
        <v>464</v>
      </c>
      <c r="I108" s="5" t="s">
        <v>263</v>
      </c>
    </row>
    <row r="109" spans="1:9" ht="16" customHeight="1">
      <c r="A109" s="4" t="str">
        <f t="shared" si="3"/>
        <v>DBiManagedFuturesETF-DBMF</v>
      </c>
      <c r="B109" s="4" t="s">
        <v>530</v>
      </c>
      <c r="C109" s="5" t="s">
        <v>531</v>
      </c>
      <c r="D109" s="5" t="s">
        <v>532</v>
      </c>
      <c r="E109" s="5" t="s">
        <v>533</v>
      </c>
      <c r="F109" s="6">
        <v>8.5000000000000006E-3</v>
      </c>
      <c r="G109" s="7"/>
      <c r="H109" s="17"/>
    </row>
    <row r="110" spans="1:9" ht="16" customHeight="1">
      <c r="A110" s="4" t="str">
        <f t="shared" si="3"/>
        <v>Nasdaq100Bitcoin-OOQB</v>
      </c>
      <c r="B110" s="4" t="s">
        <v>465</v>
      </c>
      <c r="C110" s="5" t="s">
        <v>466</v>
      </c>
      <c r="D110" s="5" t="s">
        <v>467</v>
      </c>
      <c r="E110" s="5" t="s">
        <v>468</v>
      </c>
      <c r="F110" s="6">
        <v>8.5000000000000006E-3</v>
      </c>
      <c r="G110" s="7">
        <v>45707</v>
      </c>
      <c r="H110" s="17" t="s">
        <v>469</v>
      </c>
      <c r="I110" s="5" t="s">
        <v>263</v>
      </c>
    </row>
    <row r="111" spans="1:9" s="11" customFormat="1" ht="16" customHeight="1">
      <c r="A111" s="10" t="str">
        <f t="shared" si="3"/>
        <v>SP500Bitcoin-OOSB</v>
      </c>
      <c r="B111" s="10" t="s">
        <v>470</v>
      </c>
      <c r="C111" s="11" t="s">
        <v>471</v>
      </c>
      <c r="D111" s="11" t="s">
        <v>472</v>
      </c>
      <c r="E111" s="11" t="s">
        <v>473</v>
      </c>
      <c r="F111" s="12">
        <v>8.5000000000000006E-3</v>
      </c>
      <c r="G111" s="13">
        <v>45707</v>
      </c>
      <c r="H111" s="14" t="s">
        <v>474</v>
      </c>
      <c r="I111" s="11" t="s">
        <v>263</v>
      </c>
    </row>
    <row r="112" spans="1:9" ht="16" customHeight="1">
      <c r="A112" s="4" t="str">
        <f t="shared" si="3"/>
        <v>AllWeather-ALLW</v>
      </c>
      <c r="B112" s="4" t="s">
        <v>264</v>
      </c>
      <c r="C112" s="5" t="s">
        <v>70</v>
      </c>
      <c r="D112" s="5" t="s">
        <v>265</v>
      </c>
      <c r="E112" s="5" t="s">
        <v>266</v>
      </c>
      <c r="F112" s="6">
        <v>8.5000000000000006E-3</v>
      </c>
      <c r="G112" s="7">
        <v>45722</v>
      </c>
      <c r="H112" s="8" t="s">
        <v>267</v>
      </c>
      <c r="I112" s="5" t="s">
        <v>263</v>
      </c>
    </row>
    <row r="113" spans="1:9" ht="16" customHeight="1">
      <c r="A113" s="4" t="str">
        <f t="shared" si="3"/>
        <v>SP500-SPY</v>
      </c>
      <c r="B113" s="4" t="s">
        <v>268</v>
      </c>
      <c r="C113" s="5" t="s">
        <v>269</v>
      </c>
      <c r="D113" s="5" t="s">
        <v>270</v>
      </c>
      <c r="E113" s="5" t="s">
        <v>271</v>
      </c>
      <c r="F113" s="6">
        <v>8.9999999999999998E-4</v>
      </c>
      <c r="G113" s="7">
        <v>33991</v>
      </c>
      <c r="H113" s="8" t="s">
        <v>272</v>
      </c>
      <c r="I113" s="5" t="s">
        <v>263</v>
      </c>
    </row>
    <row r="114" spans="1:9" ht="16" customHeight="1">
      <c r="A114" s="4" t="str">
        <f t="shared" si="3"/>
        <v>ShortSP500-SH</v>
      </c>
      <c r="B114" s="4" t="s">
        <v>273</v>
      </c>
      <c r="C114" s="5" t="s">
        <v>274</v>
      </c>
      <c r="D114" s="5" t="s">
        <v>275</v>
      </c>
      <c r="E114" s="5" t="s">
        <v>276</v>
      </c>
      <c r="F114" s="6">
        <v>8.8999999999999999E-3</v>
      </c>
      <c r="G114" s="7">
        <v>38887</v>
      </c>
      <c r="H114" s="8" t="s">
        <v>277</v>
      </c>
      <c r="I114" s="5" t="s">
        <v>263</v>
      </c>
    </row>
    <row r="115" spans="1:9" ht="16" customHeight="1">
      <c r="A115" s="4" t="str">
        <f t="shared" si="3"/>
        <v>VIXShortTerm-VIXY</v>
      </c>
      <c r="B115" s="4" t="s">
        <v>278</v>
      </c>
      <c r="C115" s="5" t="s">
        <v>279</v>
      </c>
      <c r="D115" s="5" t="s">
        <v>280</v>
      </c>
      <c r="E115" s="5" t="s">
        <v>281</v>
      </c>
      <c r="F115" s="6">
        <v>9.4999999999999998E-3</v>
      </c>
      <c r="G115" s="7">
        <v>40546</v>
      </c>
      <c r="H115" s="8" t="s">
        <v>282</v>
      </c>
      <c r="I115" s="5" t="s">
        <v>263</v>
      </c>
    </row>
    <row r="116" spans="1:9" ht="16" customHeight="1">
      <c r="A116" s="4" t="str">
        <f t="shared" si="3"/>
        <v>NQ100-QQQ</v>
      </c>
      <c r="B116" s="4" t="s">
        <v>283</v>
      </c>
      <c r="C116" s="5" t="s">
        <v>284</v>
      </c>
      <c r="D116" s="5" t="s">
        <v>285</v>
      </c>
      <c r="E116" s="5" t="s">
        <v>286</v>
      </c>
      <c r="F116" s="6">
        <v>1.8E-3</v>
      </c>
      <c r="G116" s="7">
        <v>36229</v>
      </c>
      <c r="H116" s="8" t="s">
        <v>287</v>
      </c>
      <c r="I116" s="5" t="s">
        <v>263</v>
      </c>
    </row>
    <row r="117" spans="1:9" ht="16" customHeight="1">
      <c r="A117" s="4" t="str">
        <f t="shared" si="3"/>
        <v>ShortQQQ-SQQQ</v>
      </c>
      <c r="B117" s="4" t="s">
        <v>288</v>
      </c>
      <c r="C117" s="5" t="s">
        <v>289</v>
      </c>
      <c r="D117" s="5" t="s">
        <v>290</v>
      </c>
      <c r="E117" s="5" t="s">
        <v>291</v>
      </c>
      <c r="F117" s="6">
        <v>9.4999999999999998E-3</v>
      </c>
      <c r="G117" s="7">
        <v>40218</v>
      </c>
      <c r="H117" s="8" t="s">
        <v>292</v>
      </c>
      <c r="I117" s="5" t="s">
        <v>263</v>
      </c>
    </row>
    <row r="118" spans="1:9" ht="16" customHeight="1">
      <c r="A118" s="4" t="str">
        <f t="shared" si="3"/>
        <v>Russell2000-IWM</v>
      </c>
      <c r="B118" s="4" t="s">
        <v>293</v>
      </c>
      <c r="C118" s="5" t="s">
        <v>294</v>
      </c>
      <c r="D118" s="5" t="s">
        <v>295</v>
      </c>
      <c r="E118" s="5" t="s">
        <v>296</v>
      </c>
      <c r="F118" s="6">
        <v>1.9E-3</v>
      </c>
      <c r="G118" s="7">
        <v>36668</v>
      </c>
      <c r="H118" s="8" t="s">
        <v>297</v>
      </c>
      <c r="I118" s="5" t="s">
        <v>263</v>
      </c>
    </row>
    <row r="119" spans="1:9" ht="16" customHeight="1">
      <c r="A119" s="4" t="str">
        <f t="shared" si="3"/>
        <v>USTotalStockMkt-VTI</v>
      </c>
      <c r="B119" s="4" t="s">
        <v>298</v>
      </c>
      <c r="C119" s="5" t="s">
        <v>299</v>
      </c>
      <c r="D119" s="5" t="s">
        <v>300</v>
      </c>
      <c r="E119" s="5" t="s">
        <v>301</v>
      </c>
      <c r="F119" s="6">
        <v>2.9999999999999997E-4</v>
      </c>
      <c r="G119" s="7">
        <v>37035</v>
      </c>
      <c r="H119" s="8" t="s">
        <v>302</v>
      </c>
      <c r="I119" s="5" t="s">
        <v>263</v>
      </c>
    </row>
    <row r="120" spans="1:9" ht="16" customHeight="1">
      <c r="A120" s="4" t="str">
        <f t="shared" si="3"/>
        <v>USGrowthEqty-VUG</v>
      </c>
      <c r="B120" s="4" t="s">
        <v>303</v>
      </c>
      <c r="C120" s="5" t="s">
        <v>304</v>
      </c>
      <c r="D120" s="5" t="s">
        <v>305</v>
      </c>
      <c r="E120" s="5" t="s">
        <v>306</v>
      </c>
      <c r="F120" s="6">
        <v>4.0000000000000002E-4</v>
      </c>
      <c r="G120" s="7">
        <v>38012</v>
      </c>
      <c r="H120" s="8" t="s">
        <v>307</v>
      </c>
      <c r="I120" s="5" t="s">
        <v>263</v>
      </c>
    </row>
    <row r="121" spans="1:9" ht="16" customHeight="1">
      <c r="A121" s="4" t="str">
        <f t="shared" si="3"/>
        <v>USValueEqty-VTV</v>
      </c>
      <c r="B121" s="4" t="s">
        <v>308</v>
      </c>
      <c r="C121" s="5" t="s">
        <v>309</v>
      </c>
      <c r="D121" s="5" t="s">
        <v>310</v>
      </c>
      <c r="E121" s="5" t="s">
        <v>311</v>
      </c>
      <c r="F121" s="6">
        <v>4.0000000000000002E-4</v>
      </c>
      <c r="G121" s="7">
        <v>38012</v>
      </c>
      <c r="H121" s="8" t="s">
        <v>312</v>
      </c>
      <c r="I121" s="5" t="s">
        <v>263</v>
      </c>
    </row>
    <row r="122" spans="1:9" ht="16" customHeight="1">
      <c r="A122" s="4" t="str">
        <f t="shared" si="3"/>
        <v>USMinVolFactor-USMV</v>
      </c>
      <c r="B122" s="4" t="s">
        <v>313</v>
      </c>
      <c r="C122" s="5" t="s">
        <v>314</v>
      </c>
      <c r="D122" s="5" t="s">
        <v>315</v>
      </c>
      <c r="E122" s="5" t="s">
        <v>316</v>
      </c>
      <c r="F122" s="6">
        <v>1.5E-3</v>
      </c>
      <c r="G122" s="7">
        <v>40834</v>
      </c>
      <c r="H122" s="8" t="s">
        <v>317</v>
      </c>
      <c r="I122" s="5" t="s">
        <v>263</v>
      </c>
    </row>
    <row r="123" spans="1:9" ht="16" customHeight="1">
      <c r="A123" s="4" t="str">
        <f t="shared" si="3"/>
        <v>USMomentumFactor-MTUM</v>
      </c>
      <c r="B123" s="4" t="s">
        <v>318</v>
      </c>
      <c r="C123" s="5" t="s">
        <v>319</v>
      </c>
      <c r="D123" s="5" t="s">
        <v>320</v>
      </c>
      <c r="E123" s="5" t="s">
        <v>321</v>
      </c>
      <c r="F123" s="6">
        <v>1.5E-3</v>
      </c>
      <c r="G123" s="7">
        <v>41380</v>
      </c>
      <c r="H123" s="8" t="s">
        <v>322</v>
      </c>
      <c r="I123" s="5" t="s">
        <v>263</v>
      </c>
    </row>
    <row r="124" spans="1:9" ht="16" customHeight="1">
      <c r="A124" s="4" t="str">
        <f t="shared" si="3"/>
        <v>USQualityFactor-QUAL</v>
      </c>
      <c r="B124" s="4" t="s">
        <v>323</v>
      </c>
      <c r="C124" s="5" t="s">
        <v>324</v>
      </c>
      <c r="D124" s="5" t="s">
        <v>325</v>
      </c>
      <c r="E124" s="5" t="s">
        <v>326</v>
      </c>
      <c r="F124" s="6">
        <v>1.5E-3</v>
      </c>
      <c r="G124" s="7">
        <v>41471</v>
      </c>
      <c r="H124" s="8" t="s">
        <v>327</v>
      </c>
      <c r="I124" s="5" t="s">
        <v>263</v>
      </c>
    </row>
    <row r="125" spans="1:9" ht="16" customHeight="1">
      <c r="A125" s="4" t="str">
        <f t="shared" si="3"/>
        <v>USDividendEquity-SCHD</v>
      </c>
      <c r="B125" s="4" t="s">
        <v>328</v>
      </c>
      <c r="C125" s="5" t="s">
        <v>329</v>
      </c>
      <c r="D125" s="5" t="s">
        <v>330</v>
      </c>
      <c r="E125" s="5" t="s">
        <v>331</v>
      </c>
      <c r="F125" s="6">
        <v>5.9999999999999995E-4</v>
      </c>
      <c r="G125" s="7">
        <v>40842</v>
      </c>
      <c r="H125" s="8" t="s">
        <v>332</v>
      </c>
      <c r="I125" s="5" t="s">
        <v>263</v>
      </c>
    </row>
    <row r="126" spans="1:9" ht="16" customHeight="1">
      <c r="A126" s="4" t="str">
        <f t="shared" si="3"/>
        <v>USTotalBondMkt-BND</v>
      </c>
      <c r="B126" s="4" t="s">
        <v>333</v>
      </c>
      <c r="C126" s="5" t="s">
        <v>334</v>
      </c>
      <c r="D126" s="5" t="s">
        <v>335</v>
      </c>
      <c r="E126" s="5" t="s">
        <v>336</v>
      </c>
      <c r="F126" s="6">
        <v>2.9999999999999997E-4</v>
      </c>
      <c r="G126" s="7">
        <v>39175</v>
      </c>
      <c r="H126" s="8" t="s">
        <v>337</v>
      </c>
      <c r="I126" s="5" t="s">
        <v>263</v>
      </c>
    </row>
    <row r="127" spans="1:9" ht="16" customHeight="1">
      <c r="A127" s="4" t="str">
        <f t="shared" si="3"/>
        <v>USIGCorpBond-LQD</v>
      </c>
      <c r="B127" s="4" t="s">
        <v>338</v>
      </c>
      <c r="C127" s="5" t="s">
        <v>339</v>
      </c>
      <c r="D127" s="5" t="s">
        <v>340</v>
      </c>
      <c r="E127" s="5" t="s">
        <v>341</v>
      </c>
      <c r="F127" s="6">
        <v>1.4E-3</v>
      </c>
      <c r="G127" s="7">
        <v>37459</v>
      </c>
      <c r="H127" s="8" t="s">
        <v>342</v>
      </c>
      <c r="I127" s="5" t="s">
        <v>263</v>
      </c>
    </row>
    <row r="128" spans="1:9" ht="16" customHeight="1">
      <c r="A128" s="4" t="str">
        <f t="shared" si="3"/>
        <v>USHYCorpBond-HYG</v>
      </c>
      <c r="B128" s="4" t="s">
        <v>343</v>
      </c>
      <c r="C128" s="5" t="s">
        <v>344</v>
      </c>
      <c r="D128" s="5" t="s">
        <v>345</v>
      </c>
      <c r="E128" s="5" t="s">
        <v>346</v>
      </c>
      <c r="F128" s="6">
        <v>4.8999999999999998E-3</v>
      </c>
      <c r="G128" s="7">
        <v>39176</v>
      </c>
      <c r="H128" s="8" t="s">
        <v>347</v>
      </c>
      <c r="I128" s="5" t="s">
        <v>263</v>
      </c>
    </row>
    <row r="129" spans="1:9" ht="16" customHeight="1">
      <c r="A129" s="4" t="str">
        <f t="shared" si="3"/>
        <v>USTbill-SGOV</v>
      </c>
      <c r="B129" s="4" t="s">
        <v>543</v>
      </c>
      <c r="C129" s="5" t="s">
        <v>544</v>
      </c>
      <c r="F129" s="6"/>
      <c r="G129" s="7"/>
      <c r="H129" s="8"/>
    </row>
    <row r="130" spans="1:9" ht="16" customHeight="1">
      <c r="A130" s="4" t="str">
        <f t="shared" si="3"/>
        <v>UST3Yr-SHY</v>
      </c>
      <c r="B130" s="4" t="s">
        <v>545</v>
      </c>
      <c r="C130" s="5" t="s">
        <v>546</v>
      </c>
      <c r="F130" s="6"/>
      <c r="G130" s="7"/>
      <c r="H130" s="8"/>
    </row>
    <row r="131" spans="1:9" ht="16" customHeight="1">
      <c r="A131" s="4" t="str">
        <f t="shared" si="3"/>
        <v>UST10Yr-IEF</v>
      </c>
      <c r="B131" s="4" t="s">
        <v>547</v>
      </c>
      <c r="C131" s="5" t="s">
        <v>183</v>
      </c>
      <c r="F131" s="6"/>
      <c r="G131" s="7"/>
      <c r="H131" s="8"/>
    </row>
    <row r="132" spans="1:9" ht="16" customHeight="1">
      <c r="A132" s="4" t="str">
        <f t="shared" si="3"/>
        <v>UST10YrX2-UST</v>
      </c>
      <c r="B132" s="4" t="s">
        <v>548</v>
      </c>
      <c r="C132" s="5" t="s">
        <v>549</v>
      </c>
      <c r="F132" s="6"/>
      <c r="G132" s="7"/>
      <c r="H132" s="8"/>
    </row>
    <row r="133" spans="1:9" ht="16" customHeight="1">
      <c r="A133" s="4" t="str">
        <f t="shared" si="3"/>
        <v>ShortUST10YrX3-PST</v>
      </c>
      <c r="B133" s="4" t="s">
        <v>550</v>
      </c>
      <c r="C133" s="5" t="s">
        <v>551</v>
      </c>
      <c r="F133" s="6"/>
      <c r="G133" s="7"/>
      <c r="H133" s="8"/>
    </row>
    <row r="134" spans="1:9" ht="16" customHeight="1">
      <c r="A134" s="4" t="str">
        <f t="shared" si="3"/>
        <v>UST20+Yr-TLT</v>
      </c>
      <c r="B134" s="4" t="s">
        <v>348</v>
      </c>
      <c r="C134" s="5" t="s">
        <v>349</v>
      </c>
      <c r="D134" s="5" t="s">
        <v>350</v>
      </c>
      <c r="E134" s="5" t="s">
        <v>351</v>
      </c>
      <c r="F134" s="6">
        <v>1.5E-3</v>
      </c>
      <c r="G134" s="7">
        <v>37459</v>
      </c>
      <c r="H134" s="8" t="s">
        <v>352</v>
      </c>
      <c r="I134" s="5" t="s">
        <v>263</v>
      </c>
    </row>
    <row r="135" spans="1:9" ht="16" customHeight="1">
      <c r="A135" s="4" t="str">
        <f t="shared" si="3"/>
        <v>ShortUST20+Yr-TBT</v>
      </c>
      <c r="B135" s="4" t="s">
        <v>353</v>
      </c>
      <c r="C135" s="5" t="s">
        <v>354</v>
      </c>
      <c r="D135" s="5" t="s">
        <v>355</v>
      </c>
      <c r="E135" s="5" t="s">
        <v>356</v>
      </c>
      <c r="F135" s="6">
        <v>9.2999999999999992E-3</v>
      </c>
      <c r="G135" s="7">
        <v>39567</v>
      </c>
      <c r="H135" s="8" t="s">
        <v>357</v>
      </c>
      <c r="I135" s="5" t="s">
        <v>263</v>
      </c>
    </row>
    <row r="136" spans="1:9" ht="16" customHeight="1">
      <c r="A136" s="4" t="str">
        <f t="shared" si="3"/>
        <v>DailyUST20+YrX3-TMF</v>
      </c>
      <c r="B136" s="4" t="s">
        <v>358</v>
      </c>
      <c r="C136" s="5" t="s">
        <v>359</v>
      </c>
      <c r="D136" s="5" t="s">
        <v>360</v>
      </c>
      <c r="E136" s="5" t="s">
        <v>361</v>
      </c>
      <c r="F136" s="6">
        <v>9.1000000000000004E-3</v>
      </c>
      <c r="G136" s="7">
        <v>39919</v>
      </c>
      <c r="H136" s="8" t="s">
        <v>362</v>
      </c>
      <c r="I136" s="5" t="s">
        <v>263</v>
      </c>
    </row>
    <row r="137" spans="1:9" ht="16" customHeight="1">
      <c r="A137" s="4" t="str">
        <f t="shared" si="3"/>
        <v>ShortDailyUST20+YrX3-TMV</v>
      </c>
      <c r="B137" s="4" t="s">
        <v>363</v>
      </c>
      <c r="C137" s="5" t="s">
        <v>364</v>
      </c>
      <c r="D137" s="5" t="s">
        <v>365</v>
      </c>
      <c r="E137" s="5" t="s">
        <v>366</v>
      </c>
      <c r="F137" s="6">
        <v>9.1000000000000004E-3</v>
      </c>
      <c r="G137" s="7">
        <v>39919</v>
      </c>
      <c r="H137" s="8" t="s">
        <v>367</v>
      </c>
      <c r="I137" s="5" t="s">
        <v>263</v>
      </c>
    </row>
    <row r="138" spans="1:9" ht="16" customHeight="1">
      <c r="A138" s="4" t="str">
        <f t="shared" si="3"/>
        <v>TIPS-TIP</v>
      </c>
      <c r="B138" s="4" t="s">
        <v>368</v>
      </c>
      <c r="C138" s="5" t="s">
        <v>369</v>
      </c>
      <c r="D138" s="5" t="s">
        <v>370</v>
      </c>
      <c r="E138" s="5" t="s">
        <v>371</v>
      </c>
      <c r="F138" s="6">
        <v>1.8E-3</v>
      </c>
      <c r="G138" s="7">
        <v>37959</v>
      </c>
      <c r="H138" s="8" t="s">
        <v>372</v>
      </c>
      <c r="I138" s="5" t="s">
        <v>263</v>
      </c>
    </row>
    <row r="139" spans="1:9" ht="16" customHeight="1">
      <c r="A139" s="4" t="str">
        <f t="shared" si="3"/>
        <v>BullishUSDollarIndex-UUP</v>
      </c>
      <c r="B139" s="4" t="s">
        <v>373</v>
      </c>
      <c r="C139" s="5" t="s">
        <v>374</v>
      </c>
      <c r="D139" s="5" t="s">
        <v>375</v>
      </c>
      <c r="E139" s="5" t="s">
        <v>376</v>
      </c>
      <c r="F139" s="6">
        <v>7.4999999999999997E-3</v>
      </c>
      <c r="G139" s="7">
        <v>39133</v>
      </c>
      <c r="H139" s="8" t="s">
        <v>377</v>
      </c>
      <c r="I139" s="5" t="s">
        <v>263</v>
      </c>
    </row>
    <row r="140" spans="1:9" ht="16" customHeight="1">
      <c r="A140" s="4" t="str">
        <f t="shared" si="3"/>
        <v>BearishUSDollarIndex-UDN</v>
      </c>
      <c r="B140" s="4" t="s">
        <v>378</v>
      </c>
      <c r="C140" s="5" t="s">
        <v>379</v>
      </c>
      <c r="D140" s="5" t="s">
        <v>380</v>
      </c>
      <c r="E140" s="5" t="s">
        <v>381</v>
      </c>
      <c r="F140" s="6">
        <v>7.7000000000000002E-3</v>
      </c>
      <c r="G140" s="7">
        <v>39133</v>
      </c>
      <c r="H140" s="8" t="s">
        <v>382</v>
      </c>
      <c r="I140" s="5" t="s">
        <v>263</v>
      </c>
    </row>
    <row r="141" spans="1:9" ht="16" customHeight="1">
      <c r="A141" s="4" t="str">
        <f t="shared" si="3"/>
        <v>AllCountryWorld-ACWI</v>
      </c>
      <c r="B141" s="4" t="s">
        <v>383</v>
      </c>
      <c r="C141" s="5" t="s">
        <v>384</v>
      </c>
      <c r="D141" s="5" t="s">
        <v>385</v>
      </c>
      <c r="E141" s="5" t="s">
        <v>386</v>
      </c>
      <c r="F141" s="6">
        <v>3.2000000000000002E-3</v>
      </c>
      <c r="G141" s="7">
        <v>39533</v>
      </c>
      <c r="H141" s="8" t="s">
        <v>387</v>
      </c>
      <c r="I141" s="5" t="s">
        <v>263</v>
      </c>
    </row>
    <row r="142" spans="1:9" ht="16" customHeight="1">
      <c r="A142" s="4" t="str">
        <f t="shared" si="3"/>
        <v>InternationalStock-VXUS</v>
      </c>
      <c r="B142" s="4" t="s">
        <v>388</v>
      </c>
      <c r="C142" s="5" t="s">
        <v>389</v>
      </c>
      <c r="D142" s="5" t="s">
        <v>390</v>
      </c>
      <c r="E142" s="5" t="s">
        <v>391</v>
      </c>
      <c r="F142" s="6">
        <v>5.0000000000000001E-4</v>
      </c>
      <c r="G142" s="7">
        <v>40569</v>
      </c>
      <c r="H142" s="8" t="s">
        <v>392</v>
      </c>
      <c r="I142" s="5" t="s">
        <v>263</v>
      </c>
    </row>
    <row r="143" spans="1:9" ht="16" customHeight="1">
      <c r="A143" s="4" t="str">
        <f t="shared" si="3"/>
        <v>EMStock-VWO</v>
      </c>
      <c r="B143" s="4" t="s">
        <v>393</v>
      </c>
      <c r="C143" s="5" t="s">
        <v>394</v>
      </c>
      <c r="D143" s="5" t="s">
        <v>395</v>
      </c>
      <c r="E143" s="5" t="s">
        <v>396</v>
      </c>
      <c r="F143" s="6">
        <v>6.9999999999999999E-4</v>
      </c>
      <c r="G143" s="7">
        <v>38415</v>
      </c>
      <c r="H143" s="8" t="s">
        <v>397</v>
      </c>
      <c r="I143" s="5" t="s">
        <v>263</v>
      </c>
    </row>
    <row r="144" spans="1:9" ht="16" customHeight="1">
      <c r="A144" s="4" t="str">
        <f t="shared" si="3"/>
        <v>DailyEMBullX3-EDC</v>
      </c>
      <c r="B144" s="4" t="s">
        <v>398</v>
      </c>
      <c r="C144" s="5" t="s">
        <v>399</v>
      </c>
      <c r="D144" s="5" t="s">
        <v>400</v>
      </c>
      <c r="E144" s="5" t="s">
        <v>401</v>
      </c>
      <c r="F144" s="6">
        <v>1.0800000000000001E-2</v>
      </c>
      <c r="G144" s="7">
        <v>39799</v>
      </c>
      <c r="H144" s="8" t="s">
        <v>402</v>
      </c>
      <c r="I144" s="5" t="s">
        <v>263</v>
      </c>
    </row>
    <row r="145" spans="1:9" ht="16" customHeight="1">
      <c r="A145" s="4" t="str">
        <f t="shared" si="3"/>
        <v>EMBondUSD-EMB</v>
      </c>
      <c r="B145" s="4" t="s">
        <v>403</v>
      </c>
      <c r="C145" s="5" t="s">
        <v>404</v>
      </c>
      <c r="D145" s="5" t="s">
        <v>405</v>
      </c>
      <c r="E145" s="5" t="s">
        <v>406</v>
      </c>
      <c r="F145" s="6">
        <v>3.8999999999999998E-3</v>
      </c>
      <c r="G145" s="7">
        <v>39433</v>
      </c>
      <c r="H145" s="8" t="s">
        <v>407</v>
      </c>
      <c r="I145" s="5" t="s">
        <v>263</v>
      </c>
    </row>
    <row r="146" spans="1:9" ht="16" customHeight="1">
      <c r="A146" s="4" t="str">
        <f t="shared" si="3"/>
        <v>InternationalBond-BNDX</v>
      </c>
      <c r="B146" s="4" t="s">
        <v>408</v>
      </c>
      <c r="C146" s="5" t="s">
        <v>409</v>
      </c>
      <c r="D146" s="5" t="s">
        <v>410</v>
      </c>
      <c r="E146" s="5" t="s">
        <v>411</v>
      </c>
      <c r="F146" s="6">
        <v>6.9999999999999999E-4</v>
      </c>
      <c r="G146" s="7">
        <v>41425</v>
      </c>
      <c r="H146" s="8" t="s">
        <v>412</v>
      </c>
      <c r="I146" s="5" t="s">
        <v>263</v>
      </c>
    </row>
    <row r="147" spans="1:9" ht="16" customHeight="1">
      <c r="A147" s="4" t="str">
        <f t="shared" si="3"/>
        <v>SPDRGold-GLD</v>
      </c>
      <c r="B147" s="4" t="s">
        <v>413</v>
      </c>
      <c r="C147" s="5" t="s">
        <v>414</v>
      </c>
      <c r="D147" s="5" t="s">
        <v>415</v>
      </c>
      <c r="E147" s="5" t="s">
        <v>416</v>
      </c>
      <c r="F147" s="6">
        <v>4.0000000000000001E-3</v>
      </c>
      <c r="G147" s="7">
        <v>38309</v>
      </c>
      <c r="H147" s="8" t="s">
        <v>417</v>
      </c>
      <c r="I147" s="5" t="s">
        <v>263</v>
      </c>
    </row>
    <row r="148" spans="1:9" ht="16" customHeight="1">
      <c r="A148" s="4" t="str">
        <f t="shared" si="3"/>
        <v>BloombergCrudeOil-UCO</v>
      </c>
      <c r="B148" s="4" t="s">
        <v>418</v>
      </c>
      <c r="C148" s="5" t="s">
        <v>419</v>
      </c>
      <c r="D148" s="5" t="s">
        <v>420</v>
      </c>
      <c r="E148" s="5" t="s">
        <v>421</v>
      </c>
      <c r="F148" s="6">
        <v>9.4999999999999998E-3</v>
      </c>
      <c r="G148" s="7">
        <v>39776</v>
      </c>
      <c r="H148" s="8" t="s">
        <v>422</v>
      </c>
      <c r="I148" s="5" t="s">
        <v>263</v>
      </c>
    </row>
    <row r="149" spans="1:9" s="11" customFormat="1" ht="16" customHeight="1">
      <c r="A149" s="10" t="str">
        <f t="shared" si="3"/>
        <v>YieldDiversifiedCMD-PDBC</v>
      </c>
      <c r="B149" s="10" t="s">
        <v>423</v>
      </c>
      <c r="C149" s="11" t="s">
        <v>424</v>
      </c>
      <c r="D149" s="11" t="s">
        <v>425</v>
      </c>
      <c r="E149" s="11" t="s">
        <v>426</v>
      </c>
      <c r="F149" s="12">
        <v>5.8999999999999999E-3</v>
      </c>
      <c r="G149" s="13">
        <v>41950</v>
      </c>
      <c r="H149" s="14" t="s">
        <v>427</v>
      </c>
      <c r="I149" s="11" t="s">
        <v>263</v>
      </c>
    </row>
    <row r="150" spans="1:9" ht="16" customHeight="1">
      <c r="A150" s="15" t="s">
        <v>71</v>
      </c>
      <c r="B150" s="15" t="s">
        <v>72</v>
      </c>
    </row>
    <row r="151" spans="1:9" ht="14" customHeight="1">
      <c r="A151" s="15" t="s">
        <v>73</v>
      </c>
      <c r="B151" s="15" t="s">
        <v>74</v>
      </c>
    </row>
    <row r="152" spans="1:9" ht="14" customHeight="1">
      <c r="A152" s="15" t="s">
        <v>75</v>
      </c>
      <c r="B152" s="15" t="s">
        <v>76</v>
      </c>
    </row>
    <row r="153" spans="1:9" ht="14" customHeight="1">
      <c r="A153" s="15" t="s">
        <v>77</v>
      </c>
      <c r="B153" s="15" t="s">
        <v>78</v>
      </c>
    </row>
    <row r="154" spans="1:9" ht="14" customHeight="1">
      <c r="A154" s="15" t="s">
        <v>79</v>
      </c>
      <c r="B154" s="15" t="s">
        <v>80</v>
      </c>
    </row>
    <row r="155" spans="1:9" ht="14" customHeight="1">
      <c r="A155" s="15" t="s">
        <v>81</v>
      </c>
      <c r="B155" s="15" t="s">
        <v>82</v>
      </c>
    </row>
    <row r="156" spans="1:9" ht="14" customHeight="1">
      <c r="A156" s="15" t="s">
        <v>83</v>
      </c>
      <c r="B156" s="15" t="s">
        <v>84</v>
      </c>
    </row>
    <row r="157" spans="1:9" ht="14" customHeight="1">
      <c r="A157" s="15" t="s">
        <v>85</v>
      </c>
      <c r="B157" s="15" t="s">
        <v>86</v>
      </c>
    </row>
    <row r="158" spans="1:9" ht="14" customHeight="1">
      <c r="A158" s="15" t="s">
        <v>87</v>
      </c>
      <c r="B158" s="15" t="s">
        <v>88</v>
      </c>
    </row>
    <row r="159" spans="1:9" ht="14" customHeight="1">
      <c r="A159" s="15" t="s">
        <v>89</v>
      </c>
      <c r="B159" s="15" t="s">
        <v>90</v>
      </c>
    </row>
    <row r="160" spans="1:9" ht="14" customHeight="1">
      <c r="A160" s="15" t="s">
        <v>91</v>
      </c>
      <c r="B160" s="15" t="s">
        <v>92</v>
      </c>
    </row>
    <row r="161" spans="1:2" ht="14" customHeight="1">
      <c r="A161" s="15" t="s">
        <v>93</v>
      </c>
      <c r="B161" s="15" t="s">
        <v>94</v>
      </c>
    </row>
    <row r="162" spans="1:2" ht="14" customHeight="1">
      <c r="A162" s="15" t="s">
        <v>95</v>
      </c>
      <c r="B162" s="15" t="s">
        <v>96</v>
      </c>
    </row>
    <row r="163" spans="1:2" ht="14" customHeight="1">
      <c r="A163" s="15" t="s">
        <v>97</v>
      </c>
      <c r="B163" s="15" t="s">
        <v>98</v>
      </c>
    </row>
    <row r="164" spans="1:2" ht="14" customHeight="1">
      <c r="A164" s="15" t="s">
        <v>99</v>
      </c>
      <c r="B164" s="15" t="s">
        <v>100</v>
      </c>
    </row>
    <row r="165" spans="1:2" ht="14" customHeight="1">
      <c r="A165" s="15" t="s">
        <v>101</v>
      </c>
      <c r="B165" s="15" t="s">
        <v>102</v>
      </c>
    </row>
    <row r="166" spans="1:2" ht="14" customHeight="1">
      <c r="A166" s="15" t="s">
        <v>103</v>
      </c>
      <c r="B166" s="15" t="s">
        <v>104</v>
      </c>
    </row>
    <row r="167" spans="1:2" ht="14" customHeight="1">
      <c r="A167" s="15" t="s">
        <v>105</v>
      </c>
      <c r="B167" s="15" t="s">
        <v>106</v>
      </c>
    </row>
    <row r="168" spans="1:2" ht="14" customHeight="1">
      <c r="A168" s="4" t="s">
        <v>107</v>
      </c>
      <c r="B168" s="4" t="s">
        <v>108</v>
      </c>
    </row>
    <row r="169" spans="1:2" ht="14" customHeight="1">
      <c r="A169" s="4" t="s">
        <v>109</v>
      </c>
      <c r="B169" s="4" t="s">
        <v>110</v>
      </c>
    </row>
    <row r="170" spans="1:2" ht="14" customHeight="1">
      <c r="A170" s="4" t="s">
        <v>111</v>
      </c>
      <c r="B170" s="4" t="s">
        <v>112</v>
      </c>
    </row>
    <row r="171" spans="1:2" ht="14" customHeight="1">
      <c r="A171" s="15" t="s">
        <v>113</v>
      </c>
      <c r="B171" s="15" t="s">
        <v>114</v>
      </c>
    </row>
    <row r="172" spans="1:2" ht="14" customHeight="1">
      <c r="A172" s="15" t="s">
        <v>115</v>
      </c>
      <c r="B172" s="15" t="s">
        <v>116</v>
      </c>
    </row>
    <row r="173" spans="1:2" ht="14" customHeight="1">
      <c r="A173" s="4" t="s">
        <v>117</v>
      </c>
      <c r="B173" s="15" t="s">
        <v>118</v>
      </c>
    </row>
    <row r="174" spans="1:2" ht="14" customHeight="1">
      <c r="A174" s="4" t="s">
        <v>119</v>
      </c>
      <c r="B174" s="15" t="s">
        <v>120</v>
      </c>
    </row>
    <row r="175" spans="1:2" ht="14" customHeight="1">
      <c r="A175" s="4" t="s">
        <v>121</v>
      </c>
      <c r="B175" s="15" t="s">
        <v>122</v>
      </c>
    </row>
    <row r="176" spans="1:2" ht="14" customHeight="1">
      <c r="A176" s="15" t="s">
        <v>123</v>
      </c>
      <c r="B176" s="15" t="s">
        <v>124</v>
      </c>
    </row>
    <row r="177" spans="1:9" ht="14" customHeight="1">
      <c r="A177" s="15" t="s">
        <v>125</v>
      </c>
      <c r="B177" s="15" t="s">
        <v>126</v>
      </c>
    </row>
    <row r="178" spans="1:9" ht="14" customHeight="1">
      <c r="A178" s="15" t="s">
        <v>127</v>
      </c>
      <c r="B178" s="15" t="s">
        <v>128</v>
      </c>
    </row>
    <row r="179" spans="1:9" ht="14" customHeight="1">
      <c r="A179" s="15" t="s">
        <v>129</v>
      </c>
      <c r="B179" s="15" t="s">
        <v>130</v>
      </c>
    </row>
    <row r="180" spans="1:9" s="11" customFormat="1" ht="14" customHeight="1">
      <c r="A180" s="18" t="s">
        <v>131</v>
      </c>
      <c r="B180" s="18" t="s">
        <v>132</v>
      </c>
    </row>
    <row r="181" spans="1:9" ht="15" customHeight="1">
      <c r="A181" s="4" t="str">
        <f>C181&amp;"-"&amp;B181</f>
        <v>A50ETF-82823.HK</v>
      </c>
      <c r="B181" s="4" t="s">
        <v>180</v>
      </c>
      <c r="C181" s="5" t="s">
        <v>497</v>
      </c>
      <c r="I181" s="5" t="s">
        <v>190</v>
      </c>
    </row>
    <row r="182" spans="1:9" ht="14" customHeight="1">
      <c r="A182" s="4" t="str">
        <f t="shared" ref="A182:A185" si="4">C182&amp;"-"&amp;B182</f>
        <v>2XA50ETF-XPP</v>
      </c>
      <c r="B182" s="4" t="s">
        <v>498</v>
      </c>
      <c r="C182" s="5" t="s">
        <v>499</v>
      </c>
      <c r="I182" s="5" t="s">
        <v>190</v>
      </c>
    </row>
    <row r="183" spans="1:9" ht="17">
      <c r="A183" s="4" t="str">
        <f t="shared" si="4"/>
        <v>2XSHSZETF-CHAU</v>
      </c>
      <c r="B183" s="4" t="s">
        <v>500</v>
      </c>
      <c r="C183" s="5" t="s">
        <v>501</v>
      </c>
      <c r="I183" s="5" t="s">
        <v>502</v>
      </c>
    </row>
    <row r="184" spans="1:9" ht="17">
      <c r="A184" s="4" t="str">
        <f t="shared" si="4"/>
        <v>2XChinaInternetETF-CWEB</v>
      </c>
      <c r="B184" s="4" t="s">
        <v>503</v>
      </c>
      <c r="C184" s="5" t="s">
        <v>504</v>
      </c>
      <c r="I184" s="5" t="s">
        <v>505</v>
      </c>
    </row>
    <row r="185" spans="1:9" ht="17">
      <c r="A185" s="4" t="str">
        <f t="shared" si="4"/>
        <v>CSILiquorETF-3189.HK</v>
      </c>
      <c r="B185" s="4" t="s">
        <v>506</v>
      </c>
      <c r="C185" s="5" t="s">
        <v>507</v>
      </c>
      <c r="I185" s="5" t="s">
        <v>508</v>
      </c>
    </row>
  </sheetData>
  <phoneticPr fontId="1" type="noConversion"/>
  <hyperlinks>
    <hyperlink ref="H113" r:id="rId1" xr:uid="{7435B8D3-D86A-8C46-AEAC-3B5BCF2B292E}"/>
    <hyperlink ref="H119" r:id="rId2" xr:uid="{2E384112-44B2-3848-AF90-43D76C7BBB30}"/>
    <hyperlink ref="H116" r:id="rId3" xr:uid="{FE3F9B8F-B3DF-A440-AB7F-15DFDDA01083}"/>
    <hyperlink ref="H118" r:id="rId4" xr:uid="{F8BFCC6B-C76E-7243-8672-DFA13B560CD4}"/>
    <hyperlink ref="H120" r:id="rId5" xr:uid="{9A40001C-2B6E-234A-8916-174509C7C69B}"/>
    <hyperlink ref="H121" r:id="rId6" xr:uid="{313CA4AF-E0E3-C34D-9602-9AF45A016CE2}"/>
    <hyperlink ref="H141" r:id="rId7" xr:uid="{89D4FF17-FDF4-B94A-862D-8D44C0A35B67}"/>
    <hyperlink ref="H142" r:id="rId8" xr:uid="{D438394B-6D98-9B4D-A297-88F1FEED792B}"/>
    <hyperlink ref="H143" r:id="rId9" xr:uid="{7C49547F-2EB9-D041-B43D-37A0860CA818}"/>
    <hyperlink ref="H134" r:id="rId10" xr:uid="{5FECD9D0-4FD2-D247-AF9A-7A32CA4ADC14}"/>
    <hyperlink ref="H138" r:id="rId11" xr:uid="{D9A6CB16-8934-2849-9502-98012C6CE5C4}"/>
    <hyperlink ref="H126" r:id="rId12" xr:uid="{65357DFF-F357-7C46-B176-18DA0F45BBC7}"/>
    <hyperlink ref="H127" r:id="rId13" xr:uid="{67091215-3914-AE4A-9641-254DDA184036}"/>
    <hyperlink ref="H128" r:id="rId14" xr:uid="{567F0015-672F-5A4E-A5F7-144079049737}"/>
    <hyperlink ref="H145" r:id="rId15" xr:uid="{DB8C3C86-24F2-8B48-9A67-FD2BD112F125}"/>
    <hyperlink ref="H146" r:id="rId16" xr:uid="{0BA7CBEB-DEAC-FF49-A2BA-372194812620}"/>
    <hyperlink ref="H147" r:id="rId17" xr:uid="{7D088546-E8B3-C241-8048-47716E6C7AE0}"/>
    <hyperlink ref="H149" r:id="rId18" xr:uid="{C323A83B-FF16-7444-A778-6A501AD7A7DF}"/>
    <hyperlink ref="H139" r:id="rId19" xr:uid="{36EF56A2-CA09-3049-BC74-B30EB8E2EF84}"/>
    <hyperlink ref="H125" r:id="rId20" xr:uid="{F2E7B82F-0E6E-8041-A0FE-455482F0E63A}"/>
    <hyperlink ref="H122" r:id="rId21" xr:uid="{E0E56318-4B5F-6548-BFE3-A4B04F3D0886}"/>
    <hyperlink ref="H123" r:id="rId22" xr:uid="{E7A38F67-E5EC-4E4D-BD77-B8C66B930099}"/>
    <hyperlink ref="H124" r:id="rId23" xr:uid="{BCF2B8C8-1EF6-824E-A63E-F5406A59B1C9}"/>
    <hyperlink ref="H102" r:id="rId24" xr:uid="{25B92525-279B-AF4D-8C70-63809B002231}"/>
    <hyperlink ref="H115" r:id="rId25" xr:uid="{79D97B15-3EA5-7D43-9764-1A27619F3C5A}"/>
    <hyperlink ref="H114" r:id="rId26" xr:uid="{3AD475BE-6A27-B64F-BB86-E41E52CD1D0D}"/>
    <hyperlink ref="H117" r:id="rId27" xr:uid="{9E0E214B-C941-CB4E-964F-5BC2F411D021}"/>
    <hyperlink ref="H136" r:id="rId28" xr:uid="{DD60CF76-FF08-AE4F-ABC7-2AE7FF4331FF}"/>
    <hyperlink ref="H135" r:id="rId29" xr:uid="{9C4ED6CC-2FE1-D04D-9C0D-C846AFF721C6}"/>
    <hyperlink ref="H137" r:id="rId30" xr:uid="{43A0AE50-82DC-3C4C-AF74-109CC6E5179B}"/>
    <hyperlink ref="H140" r:id="rId31" xr:uid="{16150A65-8688-7A45-9987-A4F350FAEB8A}"/>
    <hyperlink ref="H148" r:id="rId32" xr:uid="{4DB0BC96-5C7D-DE4B-BCA8-6844C65DE15C}"/>
    <hyperlink ref="H144" r:id="rId33" xr:uid="{0BFADBA9-ABAF-634C-BF1B-1AF40D8BCE32}"/>
    <hyperlink ref="H112" r:id="rId34" xr:uid="{C0ECBC3C-92FA-E849-BF5A-AF022DB7002C}"/>
    <hyperlink ref="H2" r:id="rId35" xr:uid="{4E6FAC78-2E67-AC47-83D3-E344E5668FB0}"/>
    <hyperlink ref="H3" r:id="rId36" xr:uid="{C64FBCCF-6BF6-BA4C-91EC-6F0C3EEE9CF3}"/>
    <hyperlink ref="H4" r:id="rId37" xr:uid="{157076EA-EBDE-054C-9C6E-818373FCC32E}"/>
    <hyperlink ref="H5" r:id="rId38" xr:uid="{EDA11CB6-83DD-E84F-8E07-15087B774A92}"/>
    <hyperlink ref="H6" r:id="rId39" xr:uid="{07C54324-B40D-1047-9CC5-3AC4B65C6134}"/>
    <hyperlink ref="H7" r:id="rId40" xr:uid="{DEEA8072-91F2-E549-AA3C-F90B7605DFD1}"/>
    <hyperlink ref="H8" r:id="rId41" xr:uid="{CDD2C465-691A-554E-97F3-05E31E6A406B}"/>
    <hyperlink ref="H9" r:id="rId42" xr:uid="{17459A30-F852-B542-A248-07FA63FFE214}"/>
    <hyperlink ref="H10" r:id="rId43" xr:uid="{0C7635A5-9FD0-284D-BB45-9A831595542D}"/>
    <hyperlink ref="H11" r:id="rId44" xr:uid="{BCF86D02-C2D0-0D42-B579-00E6DB69CA74}"/>
    <hyperlink ref="H13" r:id="rId45" xr:uid="{5BCF4506-C6EC-9540-A92E-1D0E631EEF57}"/>
    <hyperlink ref="H12" r:id="rId46" xr:uid="{EDB67C23-6E22-874B-9E48-5EFEE820F046}"/>
    <hyperlink ref="H15" r:id="rId47" xr:uid="{6D1F2396-9560-C040-A179-C307CDA8AA91}"/>
    <hyperlink ref="H14" r:id="rId48" xr:uid="{1EF19BAF-A98F-2E4D-A1E7-8A1EC254A268}"/>
    <hyperlink ref="H16" r:id="rId49" xr:uid="{3E9454F8-6493-F846-B860-15E91AD4FEE6}"/>
    <hyperlink ref="H17" r:id="rId50" xr:uid="{913C6D87-433D-2843-8A2B-91D904EBD9F5}"/>
    <hyperlink ref="H18" r:id="rId51" xr:uid="{1CC828F4-A632-6742-B6DB-AEEED9BABF2E}"/>
    <hyperlink ref="H19" r:id="rId52" xr:uid="{42B3BE71-90F6-754D-A644-A1BAB6E4514E}"/>
    <hyperlink ref="H20" r:id="rId53" xr:uid="{DF5B45E2-C226-DF49-8511-15E11B25F67C}"/>
    <hyperlink ref="H103" r:id="rId54" xr:uid="{802B65A4-50AD-6E46-A0EB-1136E354E5A8}"/>
    <hyperlink ref="H104" r:id="rId55" xr:uid="{847A8872-38E4-3F4E-8EFF-D255D80C4BFE}"/>
    <hyperlink ref="H105" r:id="rId56" xr:uid="{F861CC83-C1E8-5047-9134-3D82A7E99461}"/>
    <hyperlink ref="H106" r:id="rId57" xr:uid="{2E6296B3-2035-1D49-B887-4D6AD1C0759C}"/>
    <hyperlink ref="H107" r:id="rId58" xr:uid="{90031CD8-00F5-114E-9EF9-43CC25916DD6}"/>
    <hyperlink ref="H108" r:id="rId59" xr:uid="{62296F0B-9CEE-2A40-A50F-AECA12606C1F}"/>
    <hyperlink ref="H110" r:id="rId60" xr:uid="{2552CF7E-1F6E-CF4E-8C9E-0254A7E6B45D}"/>
    <hyperlink ref="H111" r:id="rId61" xr:uid="{FD33CDAC-8C8F-B14A-ADB9-57BC4D509D8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Yahoo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2026-03-20T13:19:08Z</dcterms:modified>
</cp:coreProperties>
</file>